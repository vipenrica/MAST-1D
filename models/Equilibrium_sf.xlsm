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parell/Google Drive/MAST_Esther/MN_paper/model-rep/"/>
    </mc:Choice>
  </mc:AlternateContent>
  <xr:revisionPtr revIDLastSave="0" documentId="8_{539F71F9-A7FF-7E4C-8252-3634A6D7F11E}" xr6:coauthVersionLast="47" xr6:coauthVersionMax="47" xr10:uidLastSave="{00000000-0000-0000-0000-000000000000}"/>
  <bookViews>
    <workbookView xWindow="1880" yWindow="6360" windowWidth="21420" windowHeight="13760" firstSheet="1" activeTab="5" xr2:uid="{5239B463-BF24-4724-B001-5645F3F2C063}"/>
  </bookViews>
  <sheets>
    <sheet name="Disclaimer" sheetId="6" r:id="rId1"/>
    <sheet name="Notation" sheetId="5" r:id="rId2"/>
    <sheet name="Calculation_of_the_flow" sheetId="9" r:id="rId3"/>
    <sheet name="Bank_migration_calculation" sheetId="10" r:id="rId4"/>
    <sheet name="How_to_use_the_Calculator" sheetId="7" r:id="rId5"/>
    <sheet name="Calculator" sheetId="3" r:id="rId6"/>
    <sheet name="bank_migr_width" sheetId="2" r:id="rId7"/>
    <sheet name="References" sheetId="8" r:id="rId8"/>
  </sheets>
  <definedNames>
    <definedName name="solver_adj" localSheetId="5" hidden="1">Calculator!$I$14</definedName>
    <definedName name="solver_eng" localSheetId="5" hidden="1">1</definedName>
    <definedName name="solver_lin" localSheetId="5" hidden="1">2</definedName>
    <definedName name="solver_neg" localSheetId="5" hidden="1">1</definedName>
    <definedName name="solver_num" localSheetId="5" hidden="1">0</definedName>
    <definedName name="solver_opt" localSheetId="5" hidden="1">Calculator!$N$2</definedName>
    <definedName name="solver_typ" localSheetId="5" hidden="1">3</definedName>
    <definedName name="solver_val" localSheetId="5" hidden="1">0</definedName>
    <definedName name="solver_ver" localSheetId="5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3" i="2" l="1"/>
  <c r="I22" i="2"/>
  <c r="C31" i="2"/>
  <c r="I23" i="2"/>
  <c r="F9" i="3"/>
  <c r="I8" i="2" l="1"/>
  <c r="I7" i="2"/>
  <c r="F26" i="2" s="1"/>
  <c r="F27" i="2" s="1"/>
  <c r="I3" i="2"/>
  <c r="I5" i="2" s="1"/>
  <c r="F20" i="2" s="1"/>
  <c r="I10" i="2"/>
  <c r="I9" i="2"/>
  <c r="I11" i="2"/>
  <c r="C26" i="2"/>
  <c r="C27" i="2"/>
  <c r="C20" i="2"/>
  <c r="C21" i="2"/>
  <c r="C23" i="2"/>
  <c r="C24" i="2"/>
  <c r="C25" i="2"/>
  <c r="I4" i="2"/>
  <c r="P21" i="3"/>
  <c r="I69" i="3" s="1"/>
  <c r="I113" i="3" s="1"/>
  <c r="P22" i="3"/>
  <c r="U70" i="3" s="1"/>
  <c r="U114" i="3" s="1"/>
  <c r="P23" i="3"/>
  <c r="B71" i="3" s="1"/>
  <c r="B115" i="3" s="1"/>
  <c r="N23" i="3"/>
  <c r="A49" i="3" s="1"/>
  <c r="K23" i="3"/>
  <c r="L23" i="3" s="1"/>
  <c r="M23" i="3" s="1"/>
  <c r="J23" i="3"/>
  <c r="P24" i="3"/>
  <c r="I72" i="3" s="1"/>
  <c r="I116" i="3" s="1"/>
  <c r="N24" i="3"/>
  <c r="A50" i="3" s="1"/>
  <c r="D50" i="3" s="1"/>
  <c r="K24" i="3"/>
  <c r="L24" i="3" s="1"/>
  <c r="M24" i="3" s="1"/>
  <c r="J24" i="3"/>
  <c r="P25" i="3"/>
  <c r="E73" i="3" s="1"/>
  <c r="E117" i="3" s="1"/>
  <c r="N25" i="3"/>
  <c r="A51" i="3" s="1"/>
  <c r="P51" i="3" s="1"/>
  <c r="K25" i="3"/>
  <c r="L25" i="3" s="1"/>
  <c r="M25" i="3" s="1"/>
  <c r="J25" i="3"/>
  <c r="P26" i="3"/>
  <c r="G74" i="3" s="1"/>
  <c r="G118" i="3" s="1"/>
  <c r="N26" i="3"/>
  <c r="A52" i="3" s="1"/>
  <c r="Z52" i="3" s="1"/>
  <c r="K26" i="3"/>
  <c r="L26" i="3" s="1"/>
  <c r="M26" i="3" s="1"/>
  <c r="J26" i="3"/>
  <c r="P27" i="3"/>
  <c r="H75" i="3" s="1"/>
  <c r="H119" i="3" s="1"/>
  <c r="N27" i="3"/>
  <c r="A53" i="3" s="1"/>
  <c r="I53" i="3" s="1"/>
  <c r="K27" i="3"/>
  <c r="L27" i="3" s="1"/>
  <c r="J27" i="3"/>
  <c r="P28" i="3"/>
  <c r="G76" i="3" s="1"/>
  <c r="G120" i="3" s="1"/>
  <c r="N28" i="3"/>
  <c r="A54" i="3" s="1"/>
  <c r="F54" i="3" s="1"/>
  <c r="K28" i="3"/>
  <c r="L28" i="3" s="1"/>
  <c r="M28" i="3" s="1"/>
  <c r="J28" i="3"/>
  <c r="P29" i="3"/>
  <c r="G77" i="3" s="1"/>
  <c r="G121" i="3" s="1"/>
  <c r="N29" i="3"/>
  <c r="A55" i="3" s="1"/>
  <c r="K29" i="3"/>
  <c r="L29" i="3" s="1"/>
  <c r="M29" i="3" s="1"/>
  <c r="J29" i="3"/>
  <c r="P30" i="3"/>
  <c r="I78" i="3" s="1"/>
  <c r="I122" i="3" s="1"/>
  <c r="N30" i="3"/>
  <c r="A56" i="3" s="1"/>
  <c r="AE56" i="3" s="1"/>
  <c r="K30" i="3"/>
  <c r="L30" i="3" s="1"/>
  <c r="J30" i="3"/>
  <c r="P31" i="3"/>
  <c r="H79" i="3" s="1"/>
  <c r="H123" i="3" s="1"/>
  <c r="N31" i="3"/>
  <c r="A57" i="3" s="1"/>
  <c r="K31" i="3"/>
  <c r="L31" i="3" s="1"/>
  <c r="M31" i="3" s="1"/>
  <c r="J31" i="3"/>
  <c r="U21" i="3"/>
  <c r="U22" i="3"/>
  <c r="U23" i="3"/>
  <c r="U24" i="3"/>
  <c r="U25" i="3"/>
  <c r="U26" i="3"/>
  <c r="U27" i="3"/>
  <c r="U28" i="3"/>
  <c r="U29" i="3"/>
  <c r="U30" i="3"/>
  <c r="U31" i="3"/>
  <c r="K21" i="3"/>
  <c r="L21" i="3" s="1"/>
  <c r="M21" i="3" s="1"/>
  <c r="K22" i="3"/>
  <c r="L22" i="3" s="1"/>
  <c r="M22" i="3" s="1"/>
  <c r="V21" i="3"/>
  <c r="V22" i="3"/>
  <c r="V23" i="3"/>
  <c r="V24" i="3"/>
  <c r="V25" i="3"/>
  <c r="V26" i="3"/>
  <c r="V27" i="3"/>
  <c r="V28" i="3"/>
  <c r="V29" i="3"/>
  <c r="V30" i="3"/>
  <c r="V31" i="3"/>
  <c r="M9" i="3"/>
  <c r="C4" i="2"/>
  <c r="C10" i="2"/>
  <c r="C11" i="2"/>
  <c r="F28" i="2"/>
  <c r="C38" i="2"/>
  <c r="G38" i="2" s="1"/>
  <c r="C39" i="2"/>
  <c r="E21" i="2"/>
  <c r="L51" i="10"/>
  <c r="L45" i="10"/>
  <c r="L43" i="10"/>
  <c r="C22" i="2"/>
  <c r="A58" i="3"/>
  <c r="B58" i="3"/>
  <c r="B102" i="3"/>
  <c r="C58" i="3"/>
  <c r="C102" i="3"/>
  <c r="D58" i="3"/>
  <c r="D102" i="3"/>
  <c r="E58" i="3"/>
  <c r="E102" i="3"/>
  <c r="F58" i="3"/>
  <c r="F102" i="3"/>
  <c r="G58" i="3"/>
  <c r="G102" i="3"/>
  <c r="H58" i="3"/>
  <c r="H102" i="3"/>
  <c r="I58" i="3"/>
  <c r="I102" i="3"/>
  <c r="J58" i="3"/>
  <c r="J102" i="3"/>
  <c r="K58" i="3"/>
  <c r="K102" i="3"/>
  <c r="L58" i="3"/>
  <c r="L102" i="3"/>
  <c r="M58" i="3"/>
  <c r="M102" i="3"/>
  <c r="N58" i="3"/>
  <c r="N102" i="3"/>
  <c r="O58" i="3"/>
  <c r="O102" i="3"/>
  <c r="P58" i="3"/>
  <c r="P102" i="3"/>
  <c r="Q58" i="3"/>
  <c r="Q102" i="3"/>
  <c r="R58" i="3"/>
  <c r="R102" i="3"/>
  <c r="S58" i="3"/>
  <c r="S102" i="3"/>
  <c r="T58" i="3"/>
  <c r="T102" i="3"/>
  <c r="U58" i="3"/>
  <c r="U102" i="3"/>
  <c r="V58" i="3"/>
  <c r="V102" i="3"/>
  <c r="W58" i="3"/>
  <c r="W102" i="3"/>
  <c r="X58" i="3"/>
  <c r="X102" i="3"/>
  <c r="Y58" i="3"/>
  <c r="Y102" i="3"/>
  <c r="Z58" i="3"/>
  <c r="Z102" i="3"/>
  <c r="AA58" i="3"/>
  <c r="AA102" i="3"/>
  <c r="AB58" i="3"/>
  <c r="AB102" i="3"/>
  <c r="AC58" i="3"/>
  <c r="AC102" i="3"/>
  <c r="AD58" i="3"/>
  <c r="AD102" i="3"/>
  <c r="AE58" i="3"/>
  <c r="AE102" i="3"/>
  <c r="AF58" i="3"/>
  <c r="AF102" i="3"/>
  <c r="AG58" i="3"/>
  <c r="AG102" i="3"/>
  <c r="AH58" i="3"/>
  <c r="AH102" i="3"/>
  <c r="AI58" i="3"/>
  <c r="AI102" i="3"/>
  <c r="AJ58" i="3"/>
  <c r="AJ102" i="3"/>
  <c r="AK58" i="3"/>
  <c r="AK102" i="3"/>
  <c r="AL58" i="3"/>
  <c r="AL102" i="3"/>
  <c r="AM58" i="3"/>
  <c r="AM102" i="3"/>
  <c r="AN58" i="3"/>
  <c r="AN102" i="3"/>
  <c r="AO58" i="3"/>
  <c r="AO102" i="3"/>
  <c r="B80" i="3"/>
  <c r="B124" i="3"/>
  <c r="C80" i="3"/>
  <c r="C124" i="3"/>
  <c r="D80" i="3"/>
  <c r="D124" i="3"/>
  <c r="E80" i="3"/>
  <c r="E124" i="3"/>
  <c r="F80" i="3"/>
  <c r="F124" i="3"/>
  <c r="G80" i="3"/>
  <c r="G124" i="3"/>
  <c r="H80" i="3"/>
  <c r="H124" i="3"/>
  <c r="I80" i="3"/>
  <c r="I124" i="3"/>
  <c r="J80" i="3"/>
  <c r="J124" i="3"/>
  <c r="K80" i="3"/>
  <c r="K124" i="3"/>
  <c r="L80" i="3"/>
  <c r="L124" i="3"/>
  <c r="M80" i="3"/>
  <c r="M124" i="3"/>
  <c r="N80" i="3"/>
  <c r="N124" i="3"/>
  <c r="O80" i="3"/>
  <c r="O124" i="3"/>
  <c r="P80" i="3"/>
  <c r="P124" i="3"/>
  <c r="Q80" i="3"/>
  <c r="Q124" i="3"/>
  <c r="R80" i="3"/>
  <c r="R124" i="3"/>
  <c r="S80" i="3"/>
  <c r="S124" i="3"/>
  <c r="T80" i="3"/>
  <c r="T124" i="3"/>
  <c r="U80" i="3"/>
  <c r="U124" i="3"/>
  <c r="V80" i="3"/>
  <c r="V124" i="3"/>
  <c r="W80" i="3"/>
  <c r="W124" i="3"/>
  <c r="X80" i="3"/>
  <c r="X124" i="3"/>
  <c r="Y80" i="3"/>
  <c r="Y124" i="3"/>
  <c r="Z80" i="3"/>
  <c r="Z124" i="3"/>
  <c r="AA80" i="3"/>
  <c r="AA124" i="3"/>
  <c r="AB80" i="3"/>
  <c r="AB124" i="3"/>
  <c r="AC80" i="3"/>
  <c r="AC124" i="3"/>
  <c r="AD80" i="3"/>
  <c r="AD124" i="3"/>
  <c r="AE80" i="3"/>
  <c r="AE124" i="3"/>
  <c r="AF80" i="3"/>
  <c r="AF124" i="3"/>
  <c r="AG80" i="3"/>
  <c r="AG124" i="3"/>
  <c r="AH80" i="3"/>
  <c r="AH124" i="3"/>
  <c r="AI80" i="3"/>
  <c r="AI124" i="3"/>
  <c r="AJ80" i="3"/>
  <c r="AJ124" i="3"/>
  <c r="AK80" i="3"/>
  <c r="AK124" i="3"/>
  <c r="AL80" i="3"/>
  <c r="AL124" i="3"/>
  <c r="AM80" i="3"/>
  <c r="AM124" i="3"/>
  <c r="AN80" i="3"/>
  <c r="AN124" i="3"/>
  <c r="AO80" i="3"/>
  <c r="AO124" i="3"/>
  <c r="A59" i="3"/>
  <c r="B59" i="3"/>
  <c r="B103" i="3"/>
  <c r="C59" i="3"/>
  <c r="C103" i="3"/>
  <c r="D59" i="3"/>
  <c r="D103" i="3"/>
  <c r="E59" i="3"/>
  <c r="E103" i="3"/>
  <c r="F59" i="3"/>
  <c r="F103" i="3"/>
  <c r="G59" i="3"/>
  <c r="G103" i="3"/>
  <c r="H59" i="3"/>
  <c r="H103" i="3"/>
  <c r="I59" i="3"/>
  <c r="I103" i="3"/>
  <c r="J59" i="3"/>
  <c r="J103" i="3"/>
  <c r="K59" i="3"/>
  <c r="K103" i="3"/>
  <c r="L59" i="3"/>
  <c r="L103" i="3"/>
  <c r="M59" i="3"/>
  <c r="M103" i="3"/>
  <c r="N59" i="3"/>
  <c r="N103" i="3"/>
  <c r="O59" i="3"/>
  <c r="O103" i="3"/>
  <c r="P59" i="3"/>
  <c r="P103" i="3"/>
  <c r="Q59" i="3"/>
  <c r="Q103" i="3"/>
  <c r="R59" i="3"/>
  <c r="R103" i="3"/>
  <c r="S59" i="3"/>
  <c r="S103" i="3"/>
  <c r="T59" i="3"/>
  <c r="T103" i="3"/>
  <c r="U59" i="3"/>
  <c r="U103" i="3"/>
  <c r="V59" i="3"/>
  <c r="V103" i="3"/>
  <c r="W59" i="3"/>
  <c r="W103" i="3"/>
  <c r="X59" i="3"/>
  <c r="X103" i="3"/>
  <c r="Y59" i="3"/>
  <c r="Y103" i="3"/>
  <c r="Z59" i="3"/>
  <c r="Z103" i="3"/>
  <c r="AA59" i="3"/>
  <c r="AA103" i="3"/>
  <c r="AB59" i="3"/>
  <c r="AB103" i="3"/>
  <c r="AC59" i="3"/>
  <c r="AC103" i="3"/>
  <c r="AD59" i="3"/>
  <c r="AD103" i="3"/>
  <c r="AE59" i="3"/>
  <c r="AE103" i="3"/>
  <c r="AF59" i="3"/>
  <c r="AF103" i="3"/>
  <c r="AG59" i="3"/>
  <c r="AG103" i="3"/>
  <c r="AH59" i="3"/>
  <c r="AH103" i="3"/>
  <c r="AI59" i="3"/>
  <c r="AI103" i="3"/>
  <c r="AJ59" i="3"/>
  <c r="AJ103" i="3"/>
  <c r="AK59" i="3"/>
  <c r="AK103" i="3"/>
  <c r="AL59" i="3"/>
  <c r="AL103" i="3"/>
  <c r="AM59" i="3"/>
  <c r="AM103" i="3"/>
  <c r="AN59" i="3"/>
  <c r="AN103" i="3"/>
  <c r="AO59" i="3"/>
  <c r="AO103" i="3"/>
  <c r="B81" i="3"/>
  <c r="B125" i="3"/>
  <c r="C81" i="3"/>
  <c r="C125" i="3"/>
  <c r="D81" i="3"/>
  <c r="D125" i="3"/>
  <c r="E81" i="3"/>
  <c r="E125" i="3"/>
  <c r="F81" i="3"/>
  <c r="F125" i="3"/>
  <c r="G81" i="3"/>
  <c r="G125" i="3"/>
  <c r="H81" i="3"/>
  <c r="H125" i="3"/>
  <c r="I81" i="3"/>
  <c r="I125" i="3"/>
  <c r="J81" i="3"/>
  <c r="J125" i="3"/>
  <c r="K81" i="3"/>
  <c r="K125" i="3"/>
  <c r="L81" i="3"/>
  <c r="L125" i="3"/>
  <c r="M81" i="3"/>
  <c r="M125" i="3"/>
  <c r="N81" i="3"/>
  <c r="N125" i="3"/>
  <c r="O81" i="3"/>
  <c r="O125" i="3"/>
  <c r="P81" i="3"/>
  <c r="P125" i="3"/>
  <c r="Q81" i="3"/>
  <c r="Q125" i="3"/>
  <c r="R81" i="3"/>
  <c r="R125" i="3"/>
  <c r="S81" i="3"/>
  <c r="S125" i="3"/>
  <c r="T81" i="3"/>
  <c r="T125" i="3"/>
  <c r="U81" i="3"/>
  <c r="U125" i="3"/>
  <c r="V81" i="3"/>
  <c r="V125" i="3"/>
  <c r="W81" i="3"/>
  <c r="W125" i="3"/>
  <c r="X81" i="3"/>
  <c r="X125" i="3"/>
  <c r="Y81" i="3"/>
  <c r="Y125" i="3"/>
  <c r="Z81" i="3"/>
  <c r="Z125" i="3"/>
  <c r="AA81" i="3"/>
  <c r="AA125" i="3"/>
  <c r="AB81" i="3"/>
  <c r="AB125" i="3"/>
  <c r="AC81" i="3"/>
  <c r="AC125" i="3"/>
  <c r="AD81" i="3"/>
  <c r="AD125" i="3"/>
  <c r="AE81" i="3"/>
  <c r="AE125" i="3"/>
  <c r="AF81" i="3"/>
  <c r="AF125" i="3"/>
  <c r="AG81" i="3"/>
  <c r="AG125" i="3"/>
  <c r="AH81" i="3"/>
  <c r="AH125" i="3"/>
  <c r="AI81" i="3"/>
  <c r="AI125" i="3"/>
  <c r="AJ81" i="3"/>
  <c r="AJ125" i="3"/>
  <c r="AK81" i="3"/>
  <c r="AK125" i="3"/>
  <c r="AL81" i="3"/>
  <c r="AL125" i="3"/>
  <c r="AM81" i="3"/>
  <c r="AM125" i="3"/>
  <c r="AN81" i="3"/>
  <c r="AN125" i="3"/>
  <c r="AO81" i="3"/>
  <c r="AO125" i="3"/>
  <c r="A60" i="3"/>
  <c r="B60" i="3"/>
  <c r="B104" i="3"/>
  <c r="C60" i="3"/>
  <c r="C104" i="3"/>
  <c r="D60" i="3"/>
  <c r="D104" i="3"/>
  <c r="E60" i="3"/>
  <c r="E104" i="3"/>
  <c r="F60" i="3"/>
  <c r="F104" i="3"/>
  <c r="G60" i="3"/>
  <c r="G104" i="3"/>
  <c r="H60" i="3"/>
  <c r="H104" i="3"/>
  <c r="I60" i="3"/>
  <c r="I104" i="3"/>
  <c r="J60" i="3"/>
  <c r="J104" i="3"/>
  <c r="K60" i="3"/>
  <c r="K104" i="3"/>
  <c r="L60" i="3"/>
  <c r="L104" i="3"/>
  <c r="M60" i="3"/>
  <c r="M104" i="3"/>
  <c r="N60" i="3"/>
  <c r="N104" i="3"/>
  <c r="O60" i="3"/>
  <c r="O104" i="3"/>
  <c r="P60" i="3"/>
  <c r="P104" i="3"/>
  <c r="Q60" i="3"/>
  <c r="Q104" i="3"/>
  <c r="R60" i="3"/>
  <c r="R104" i="3"/>
  <c r="S60" i="3"/>
  <c r="S104" i="3"/>
  <c r="T60" i="3"/>
  <c r="T104" i="3"/>
  <c r="U60" i="3"/>
  <c r="U104" i="3"/>
  <c r="V60" i="3"/>
  <c r="V104" i="3"/>
  <c r="W60" i="3"/>
  <c r="W104" i="3"/>
  <c r="X60" i="3"/>
  <c r="X104" i="3"/>
  <c r="Y60" i="3"/>
  <c r="Y104" i="3"/>
  <c r="Z60" i="3"/>
  <c r="Z104" i="3"/>
  <c r="AA60" i="3"/>
  <c r="AA104" i="3"/>
  <c r="AB60" i="3"/>
  <c r="AB104" i="3"/>
  <c r="AC60" i="3"/>
  <c r="AC104" i="3"/>
  <c r="AD60" i="3"/>
  <c r="AD104" i="3"/>
  <c r="AE60" i="3"/>
  <c r="AE104" i="3"/>
  <c r="AF60" i="3"/>
  <c r="AF104" i="3"/>
  <c r="AG60" i="3"/>
  <c r="AG104" i="3"/>
  <c r="AH60" i="3"/>
  <c r="AH104" i="3"/>
  <c r="AI60" i="3"/>
  <c r="AI104" i="3"/>
  <c r="AJ60" i="3"/>
  <c r="AJ104" i="3"/>
  <c r="AK60" i="3"/>
  <c r="AK104" i="3"/>
  <c r="AL60" i="3"/>
  <c r="AL104" i="3"/>
  <c r="AM60" i="3"/>
  <c r="AM104" i="3"/>
  <c r="AN60" i="3"/>
  <c r="AN104" i="3"/>
  <c r="AO60" i="3"/>
  <c r="AO104" i="3"/>
  <c r="B82" i="3"/>
  <c r="B126" i="3"/>
  <c r="C82" i="3"/>
  <c r="C126" i="3"/>
  <c r="D82" i="3"/>
  <c r="D126" i="3"/>
  <c r="E82" i="3"/>
  <c r="E126" i="3"/>
  <c r="F82" i="3"/>
  <c r="F126" i="3"/>
  <c r="G82" i="3"/>
  <c r="G126" i="3"/>
  <c r="H82" i="3"/>
  <c r="H126" i="3"/>
  <c r="I82" i="3"/>
  <c r="I126" i="3"/>
  <c r="J82" i="3"/>
  <c r="J126" i="3"/>
  <c r="K82" i="3"/>
  <c r="K126" i="3"/>
  <c r="L82" i="3"/>
  <c r="L126" i="3"/>
  <c r="M82" i="3"/>
  <c r="M126" i="3"/>
  <c r="N82" i="3"/>
  <c r="N126" i="3"/>
  <c r="O82" i="3"/>
  <c r="O126" i="3"/>
  <c r="P82" i="3"/>
  <c r="P126" i="3"/>
  <c r="Q82" i="3"/>
  <c r="Q126" i="3"/>
  <c r="R82" i="3"/>
  <c r="R126" i="3"/>
  <c r="S82" i="3"/>
  <c r="S126" i="3"/>
  <c r="T82" i="3"/>
  <c r="T126" i="3"/>
  <c r="U82" i="3"/>
  <c r="U126" i="3"/>
  <c r="V82" i="3"/>
  <c r="V126" i="3"/>
  <c r="W82" i="3"/>
  <c r="W126" i="3"/>
  <c r="X82" i="3"/>
  <c r="X126" i="3"/>
  <c r="Y82" i="3"/>
  <c r="Y126" i="3"/>
  <c r="Z82" i="3"/>
  <c r="Z126" i="3"/>
  <c r="AA82" i="3"/>
  <c r="AA126" i="3"/>
  <c r="AB82" i="3"/>
  <c r="AB126" i="3"/>
  <c r="AC82" i="3"/>
  <c r="AC126" i="3"/>
  <c r="AD82" i="3"/>
  <c r="AD126" i="3"/>
  <c r="AE82" i="3"/>
  <c r="AE126" i="3"/>
  <c r="AF82" i="3"/>
  <c r="AF126" i="3"/>
  <c r="AG82" i="3"/>
  <c r="AG126" i="3"/>
  <c r="AH82" i="3"/>
  <c r="AH126" i="3"/>
  <c r="AI82" i="3"/>
  <c r="AI126" i="3"/>
  <c r="AJ82" i="3"/>
  <c r="AJ126" i="3"/>
  <c r="AK82" i="3"/>
  <c r="AK126" i="3"/>
  <c r="AL82" i="3"/>
  <c r="AL126" i="3"/>
  <c r="AM82" i="3"/>
  <c r="AM126" i="3"/>
  <c r="AN82" i="3"/>
  <c r="AN126" i="3"/>
  <c r="AO82" i="3"/>
  <c r="AO126" i="3"/>
  <c r="A61" i="3"/>
  <c r="B61" i="3"/>
  <c r="B105" i="3"/>
  <c r="C61" i="3"/>
  <c r="C105" i="3"/>
  <c r="D61" i="3"/>
  <c r="D105" i="3"/>
  <c r="E61" i="3"/>
  <c r="E105" i="3"/>
  <c r="F61" i="3"/>
  <c r="F105" i="3"/>
  <c r="G61" i="3"/>
  <c r="G105" i="3"/>
  <c r="H61" i="3"/>
  <c r="H105" i="3"/>
  <c r="I61" i="3"/>
  <c r="I105" i="3"/>
  <c r="J61" i="3"/>
  <c r="J105" i="3"/>
  <c r="K61" i="3"/>
  <c r="K105" i="3"/>
  <c r="L61" i="3"/>
  <c r="L105" i="3"/>
  <c r="M61" i="3"/>
  <c r="M105" i="3"/>
  <c r="N61" i="3"/>
  <c r="N105" i="3"/>
  <c r="O61" i="3"/>
  <c r="O105" i="3"/>
  <c r="P61" i="3"/>
  <c r="P105" i="3"/>
  <c r="Q61" i="3"/>
  <c r="Q105" i="3"/>
  <c r="R61" i="3"/>
  <c r="R105" i="3"/>
  <c r="S61" i="3"/>
  <c r="S105" i="3"/>
  <c r="T61" i="3"/>
  <c r="T105" i="3"/>
  <c r="U61" i="3"/>
  <c r="U105" i="3"/>
  <c r="V61" i="3"/>
  <c r="V105" i="3"/>
  <c r="W61" i="3"/>
  <c r="W105" i="3"/>
  <c r="X61" i="3"/>
  <c r="X105" i="3"/>
  <c r="Y61" i="3"/>
  <c r="Y105" i="3"/>
  <c r="Z61" i="3"/>
  <c r="Z105" i="3"/>
  <c r="AA61" i="3"/>
  <c r="AA105" i="3"/>
  <c r="AB61" i="3"/>
  <c r="AB105" i="3"/>
  <c r="AC61" i="3"/>
  <c r="AC105" i="3"/>
  <c r="AD61" i="3"/>
  <c r="AD105" i="3"/>
  <c r="AE61" i="3"/>
  <c r="AE105" i="3"/>
  <c r="AF61" i="3"/>
  <c r="AF105" i="3"/>
  <c r="AG61" i="3"/>
  <c r="AG105" i="3"/>
  <c r="AH61" i="3"/>
  <c r="AH105" i="3"/>
  <c r="AI61" i="3"/>
  <c r="AI105" i="3"/>
  <c r="AJ61" i="3"/>
  <c r="AJ105" i="3"/>
  <c r="AK61" i="3"/>
  <c r="AK105" i="3"/>
  <c r="AL61" i="3"/>
  <c r="AL105" i="3"/>
  <c r="AM61" i="3"/>
  <c r="AM105" i="3"/>
  <c r="AN61" i="3"/>
  <c r="AN105" i="3"/>
  <c r="AO61" i="3"/>
  <c r="AO105" i="3"/>
  <c r="B83" i="3"/>
  <c r="B127" i="3"/>
  <c r="C83" i="3"/>
  <c r="C127" i="3"/>
  <c r="D83" i="3"/>
  <c r="D127" i="3"/>
  <c r="E83" i="3"/>
  <c r="E127" i="3"/>
  <c r="F83" i="3"/>
  <c r="F127" i="3"/>
  <c r="G83" i="3"/>
  <c r="G127" i="3"/>
  <c r="H83" i="3"/>
  <c r="H127" i="3"/>
  <c r="I83" i="3"/>
  <c r="I127" i="3"/>
  <c r="J83" i="3"/>
  <c r="J127" i="3"/>
  <c r="K83" i="3"/>
  <c r="K127" i="3"/>
  <c r="L83" i="3"/>
  <c r="L127" i="3"/>
  <c r="M83" i="3"/>
  <c r="M127" i="3"/>
  <c r="N83" i="3"/>
  <c r="N127" i="3"/>
  <c r="O83" i="3"/>
  <c r="O127" i="3"/>
  <c r="P83" i="3"/>
  <c r="P127" i="3"/>
  <c r="Q83" i="3"/>
  <c r="Q127" i="3"/>
  <c r="R83" i="3"/>
  <c r="R127" i="3"/>
  <c r="S83" i="3"/>
  <c r="S127" i="3"/>
  <c r="T83" i="3"/>
  <c r="T127" i="3"/>
  <c r="U83" i="3"/>
  <c r="U127" i="3"/>
  <c r="V83" i="3"/>
  <c r="V127" i="3"/>
  <c r="W83" i="3"/>
  <c r="W127" i="3"/>
  <c r="X83" i="3"/>
  <c r="X127" i="3"/>
  <c r="Y83" i="3"/>
  <c r="Y127" i="3"/>
  <c r="Z83" i="3"/>
  <c r="Z127" i="3"/>
  <c r="AA83" i="3"/>
  <c r="AA127" i="3"/>
  <c r="AB83" i="3"/>
  <c r="AB127" i="3"/>
  <c r="AC83" i="3"/>
  <c r="AC127" i="3"/>
  <c r="AD83" i="3"/>
  <c r="AD127" i="3"/>
  <c r="AE83" i="3"/>
  <c r="AE127" i="3"/>
  <c r="AF83" i="3"/>
  <c r="AF127" i="3"/>
  <c r="AG83" i="3"/>
  <c r="AG127" i="3"/>
  <c r="AH83" i="3"/>
  <c r="AH127" i="3"/>
  <c r="AI83" i="3"/>
  <c r="AI127" i="3"/>
  <c r="AJ83" i="3"/>
  <c r="AJ127" i="3"/>
  <c r="AK83" i="3"/>
  <c r="AK127" i="3"/>
  <c r="AL83" i="3"/>
  <c r="AL127" i="3"/>
  <c r="AM83" i="3"/>
  <c r="AM127" i="3"/>
  <c r="AN83" i="3"/>
  <c r="AN127" i="3"/>
  <c r="AO83" i="3"/>
  <c r="AO127" i="3"/>
  <c r="A62" i="3"/>
  <c r="B62" i="3"/>
  <c r="B106" i="3"/>
  <c r="C62" i="3"/>
  <c r="C106" i="3"/>
  <c r="D62" i="3"/>
  <c r="D106" i="3"/>
  <c r="E62" i="3"/>
  <c r="E106" i="3"/>
  <c r="F62" i="3"/>
  <c r="F106" i="3"/>
  <c r="G62" i="3"/>
  <c r="G106" i="3"/>
  <c r="H62" i="3"/>
  <c r="H106" i="3"/>
  <c r="I62" i="3"/>
  <c r="I106" i="3"/>
  <c r="J62" i="3"/>
  <c r="J106" i="3"/>
  <c r="K62" i="3"/>
  <c r="K106" i="3"/>
  <c r="L62" i="3"/>
  <c r="L106" i="3"/>
  <c r="M62" i="3"/>
  <c r="M106" i="3"/>
  <c r="N62" i="3"/>
  <c r="N106" i="3"/>
  <c r="O62" i="3"/>
  <c r="O106" i="3"/>
  <c r="P62" i="3"/>
  <c r="P106" i="3"/>
  <c r="Q62" i="3"/>
  <c r="Q106" i="3"/>
  <c r="R62" i="3"/>
  <c r="R106" i="3"/>
  <c r="S62" i="3"/>
  <c r="S106" i="3"/>
  <c r="T62" i="3"/>
  <c r="T106" i="3"/>
  <c r="U62" i="3"/>
  <c r="U106" i="3"/>
  <c r="V62" i="3"/>
  <c r="V106" i="3"/>
  <c r="W62" i="3"/>
  <c r="W106" i="3"/>
  <c r="X62" i="3"/>
  <c r="X106" i="3"/>
  <c r="Y62" i="3"/>
  <c r="Y106" i="3"/>
  <c r="Z62" i="3"/>
  <c r="Z106" i="3"/>
  <c r="AA62" i="3"/>
  <c r="AA106" i="3"/>
  <c r="AB62" i="3"/>
  <c r="AB106" i="3"/>
  <c r="AC62" i="3"/>
  <c r="AC106" i="3"/>
  <c r="AD62" i="3"/>
  <c r="AD106" i="3"/>
  <c r="AE62" i="3"/>
  <c r="AE106" i="3"/>
  <c r="AF62" i="3"/>
  <c r="AF106" i="3"/>
  <c r="AG62" i="3"/>
  <c r="AG106" i="3"/>
  <c r="AH62" i="3"/>
  <c r="AH106" i="3"/>
  <c r="AI62" i="3"/>
  <c r="AI106" i="3"/>
  <c r="AJ62" i="3"/>
  <c r="AJ106" i="3"/>
  <c r="AK62" i="3"/>
  <c r="AK106" i="3"/>
  <c r="AL62" i="3"/>
  <c r="AL106" i="3"/>
  <c r="AM62" i="3"/>
  <c r="AM106" i="3"/>
  <c r="AN62" i="3"/>
  <c r="AN106" i="3"/>
  <c r="AO62" i="3"/>
  <c r="AO106" i="3"/>
  <c r="B84" i="3"/>
  <c r="B128" i="3"/>
  <c r="C84" i="3"/>
  <c r="C128" i="3"/>
  <c r="D84" i="3"/>
  <c r="D128" i="3"/>
  <c r="E84" i="3"/>
  <c r="E128" i="3"/>
  <c r="F84" i="3"/>
  <c r="F128" i="3"/>
  <c r="G84" i="3"/>
  <c r="G128" i="3"/>
  <c r="H84" i="3"/>
  <c r="H128" i="3"/>
  <c r="I84" i="3"/>
  <c r="I128" i="3"/>
  <c r="J84" i="3"/>
  <c r="J128" i="3"/>
  <c r="K84" i="3"/>
  <c r="K128" i="3"/>
  <c r="L84" i="3"/>
  <c r="L128" i="3"/>
  <c r="M84" i="3"/>
  <c r="M128" i="3"/>
  <c r="N84" i="3"/>
  <c r="N128" i="3"/>
  <c r="O84" i="3"/>
  <c r="O128" i="3"/>
  <c r="P84" i="3"/>
  <c r="P128" i="3"/>
  <c r="Q84" i="3"/>
  <c r="Q128" i="3"/>
  <c r="R84" i="3"/>
  <c r="R128" i="3"/>
  <c r="S84" i="3"/>
  <c r="S128" i="3"/>
  <c r="T84" i="3"/>
  <c r="T128" i="3"/>
  <c r="U84" i="3"/>
  <c r="U128" i="3"/>
  <c r="V84" i="3"/>
  <c r="V128" i="3"/>
  <c r="W84" i="3"/>
  <c r="W128" i="3"/>
  <c r="X84" i="3"/>
  <c r="X128" i="3"/>
  <c r="Y84" i="3"/>
  <c r="Y128" i="3"/>
  <c r="Z84" i="3"/>
  <c r="Z128" i="3"/>
  <c r="AA84" i="3"/>
  <c r="AA128" i="3"/>
  <c r="AB84" i="3"/>
  <c r="AB128" i="3"/>
  <c r="AC84" i="3"/>
  <c r="AC128" i="3"/>
  <c r="AD84" i="3"/>
  <c r="AD128" i="3"/>
  <c r="AE84" i="3"/>
  <c r="AE128" i="3"/>
  <c r="AF84" i="3"/>
  <c r="AF128" i="3"/>
  <c r="AG84" i="3"/>
  <c r="AG128" i="3"/>
  <c r="AH84" i="3"/>
  <c r="AH128" i="3"/>
  <c r="AI84" i="3"/>
  <c r="AI128" i="3"/>
  <c r="AJ84" i="3"/>
  <c r="AJ128" i="3"/>
  <c r="AK84" i="3"/>
  <c r="AK128" i="3"/>
  <c r="AL84" i="3"/>
  <c r="AL128" i="3"/>
  <c r="AM84" i="3"/>
  <c r="AM128" i="3"/>
  <c r="AN84" i="3"/>
  <c r="AN128" i="3"/>
  <c r="AO84" i="3"/>
  <c r="AO128" i="3"/>
  <c r="A63" i="3"/>
  <c r="B63" i="3"/>
  <c r="B107" i="3"/>
  <c r="C63" i="3"/>
  <c r="C107" i="3"/>
  <c r="D63" i="3"/>
  <c r="D107" i="3"/>
  <c r="E63" i="3"/>
  <c r="E107" i="3"/>
  <c r="F63" i="3"/>
  <c r="F107" i="3"/>
  <c r="G63" i="3"/>
  <c r="G107" i="3"/>
  <c r="H63" i="3"/>
  <c r="H107" i="3"/>
  <c r="I63" i="3"/>
  <c r="I107" i="3"/>
  <c r="J63" i="3"/>
  <c r="J107" i="3"/>
  <c r="K63" i="3"/>
  <c r="K107" i="3"/>
  <c r="L63" i="3"/>
  <c r="L107" i="3"/>
  <c r="M63" i="3"/>
  <c r="M107" i="3"/>
  <c r="N63" i="3"/>
  <c r="N107" i="3"/>
  <c r="O63" i="3"/>
  <c r="O107" i="3"/>
  <c r="P63" i="3"/>
  <c r="P107" i="3"/>
  <c r="Q63" i="3"/>
  <c r="Q107" i="3"/>
  <c r="R63" i="3"/>
  <c r="R107" i="3"/>
  <c r="S63" i="3"/>
  <c r="S107" i="3"/>
  <c r="T63" i="3"/>
  <c r="T107" i="3"/>
  <c r="U63" i="3"/>
  <c r="U107" i="3"/>
  <c r="V63" i="3"/>
  <c r="V107" i="3"/>
  <c r="W63" i="3"/>
  <c r="W107" i="3"/>
  <c r="X63" i="3"/>
  <c r="X107" i="3"/>
  <c r="Y63" i="3"/>
  <c r="Y107" i="3"/>
  <c r="Z63" i="3"/>
  <c r="Z107" i="3"/>
  <c r="AA63" i="3"/>
  <c r="AA107" i="3"/>
  <c r="AB63" i="3"/>
  <c r="AB107" i="3"/>
  <c r="AC63" i="3"/>
  <c r="AC107" i="3"/>
  <c r="AD63" i="3"/>
  <c r="AD107" i="3"/>
  <c r="AE63" i="3"/>
  <c r="AE107" i="3"/>
  <c r="AF63" i="3"/>
  <c r="AF107" i="3"/>
  <c r="AG63" i="3"/>
  <c r="AG107" i="3"/>
  <c r="AH63" i="3"/>
  <c r="AH107" i="3"/>
  <c r="AI63" i="3"/>
  <c r="AI107" i="3"/>
  <c r="AJ63" i="3"/>
  <c r="AJ107" i="3"/>
  <c r="AK63" i="3"/>
  <c r="AK107" i="3"/>
  <c r="AL63" i="3"/>
  <c r="AL107" i="3"/>
  <c r="AM63" i="3"/>
  <c r="AM107" i="3"/>
  <c r="AN63" i="3"/>
  <c r="AN107" i="3"/>
  <c r="AO63" i="3"/>
  <c r="AO107" i="3"/>
  <c r="B85" i="3"/>
  <c r="B129" i="3"/>
  <c r="C85" i="3"/>
  <c r="C129" i="3"/>
  <c r="D85" i="3"/>
  <c r="D129" i="3"/>
  <c r="E85" i="3"/>
  <c r="E129" i="3"/>
  <c r="F85" i="3"/>
  <c r="F129" i="3"/>
  <c r="G85" i="3"/>
  <c r="G129" i="3"/>
  <c r="H85" i="3"/>
  <c r="H129" i="3"/>
  <c r="I85" i="3"/>
  <c r="I129" i="3"/>
  <c r="J85" i="3"/>
  <c r="J129" i="3"/>
  <c r="K85" i="3"/>
  <c r="K129" i="3"/>
  <c r="L85" i="3"/>
  <c r="L129" i="3"/>
  <c r="M85" i="3"/>
  <c r="M129" i="3"/>
  <c r="N85" i="3"/>
  <c r="N129" i="3"/>
  <c r="O85" i="3"/>
  <c r="O129" i="3"/>
  <c r="P85" i="3"/>
  <c r="P129" i="3"/>
  <c r="Q85" i="3"/>
  <c r="Q129" i="3"/>
  <c r="R85" i="3"/>
  <c r="R129" i="3"/>
  <c r="S85" i="3"/>
  <c r="S129" i="3"/>
  <c r="T85" i="3"/>
  <c r="T129" i="3"/>
  <c r="U85" i="3"/>
  <c r="U129" i="3"/>
  <c r="V85" i="3"/>
  <c r="V129" i="3"/>
  <c r="W85" i="3"/>
  <c r="W129" i="3"/>
  <c r="X85" i="3"/>
  <c r="X129" i="3"/>
  <c r="Y85" i="3"/>
  <c r="Y129" i="3"/>
  <c r="Z85" i="3"/>
  <c r="Z129" i="3"/>
  <c r="AA85" i="3"/>
  <c r="AA129" i="3"/>
  <c r="AB85" i="3"/>
  <c r="AB129" i="3"/>
  <c r="AC85" i="3"/>
  <c r="AC129" i="3"/>
  <c r="AD85" i="3"/>
  <c r="AD129" i="3"/>
  <c r="AE85" i="3"/>
  <c r="AE129" i="3"/>
  <c r="AF85" i="3"/>
  <c r="AF129" i="3"/>
  <c r="AG85" i="3"/>
  <c r="AG129" i="3"/>
  <c r="AH85" i="3"/>
  <c r="AH129" i="3"/>
  <c r="AI85" i="3"/>
  <c r="AI129" i="3"/>
  <c r="AJ85" i="3"/>
  <c r="AJ129" i="3"/>
  <c r="AK85" i="3"/>
  <c r="AK129" i="3"/>
  <c r="AL85" i="3"/>
  <c r="AL129" i="3"/>
  <c r="AM85" i="3"/>
  <c r="AM129" i="3"/>
  <c r="AN85" i="3"/>
  <c r="AN129" i="3"/>
  <c r="AO85" i="3"/>
  <c r="AO129" i="3"/>
  <c r="A64" i="3"/>
  <c r="B64" i="3"/>
  <c r="B108" i="3"/>
  <c r="C64" i="3"/>
  <c r="C108" i="3"/>
  <c r="D64" i="3"/>
  <c r="D108" i="3"/>
  <c r="E64" i="3"/>
  <c r="E108" i="3"/>
  <c r="F64" i="3"/>
  <c r="F108" i="3"/>
  <c r="G64" i="3"/>
  <c r="G108" i="3"/>
  <c r="H64" i="3"/>
  <c r="H108" i="3"/>
  <c r="I64" i="3"/>
  <c r="I108" i="3"/>
  <c r="J64" i="3"/>
  <c r="J108" i="3"/>
  <c r="K64" i="3"/>
  <c r="K108" i="3"/>
  <c r="L64" i="3"/>
  <c r="L108" i="3"/>
  <c r="M64" i="3"/>
  <c r="M108" i="3"/>
  <c r="N64" i="3"/>
  <c r="N108" i="3"/>
  <c r="O64" i="3"/>
  <c r="O108" i="3"/>
  <c r="P64" i="3"/>
  <c r="P108" i="3"/>
  <c r="Q64" i="3"/>
  <c r="Q108" i="3"/>
  <c r="R64" i="3"/>
  <c r="R108" i="3"/>
  <c r="S64" i="3"/>
  <c r="S108" i="3"/>
  <c r="T64" i="3"/>
  <c r="T108" i="3"/>
  <c r="U64" i="3"/>
  <c r="U108" i="3"/>
  <c r="V64" i="3"/>
  <c r="V108" i="3"/>
  <c r="W64" i="3"/>
  <c r="W108" i="3"/>
  <c r="X64" i="3"/>
  <c r="X108" i="3"/>
  <c r="Y64" i="3"/>
  <c r="Y108" i="3"/>
  <c r="Z64" i="3"/>
  <c r="Z108" i="3"/>
  <c r="AA64" i="3"/>
  <c r="AA108" i="3"/>
  <c r="AB64" i="3"/>
  <c r="AB108" i="3"/>
  <c r="AC64" i="3"/>
  <c r="AC108" i="3"/>
  <c r="AD64" i="3"/>
  <c r="AD108" i="3"/>
  <c r="AE64" i="3"/>
  <c r="AE108" i="3"/>
  <c r="AF64" i="3"/>
  <c r="AF108" i="3"/>
  <c r="AG64" i="3"/>
  <c r="AG108" i="3"/>
  <c r="AH64" i="3"/>
  <c r="AH108" i="3"/>
  <c r="AI64" i="3"/>
  <c r="AI108" i="3"/>
  <c r="AJ64" i="3"/>
  <c r="AJ108" i="3"/>
  <c r="AK64" i="3"/>
  <c r="AK108" i="3"/>
  <c r="AL64" i="3"/>
  <c r="AL108" i="3"/>
  <c r="AM64" i="3"/>
  <c r="AM108" i="3"/>
  <c r="AN64" i="3"/>
  <c r="AN108" i="3"/>
  <c r="AO64" i="3"/>
  <c r="AO108" i="3"/>
  <c r="B86" i="3"/>
  <c r="B130" i="3"/>
  <c r="C86" i="3"/>
  <c r="C130" i="3"/>
  <c r="D86" i="3"/>
  <c r="D130" i="3"/>
  <c r="E86" i="3"/>
  <c r="E130" i="3"/>
  <c r="F86" i="3"/>
  <c r="F130" i="3"/>
  <c r="G86" i="3"/>
  <c r="G130" i="3"/>
  <c r="H86" i="3"/>
  <c r="H130" i="3"/>
  <c r="I86" i="3"/>
  <c r="I130" i="3"/>
  <c r="J86" i="3"/>
  <c r="J130" i="3"/>
  <c r="K86" i="3"/>
  <c r="K130" i="3"/>
  <c r="L86" i="3"/>
  <c r="L130" i="3"/>
  <c r="M86" i="3"/>
  <c r="M130" i="3"/>
  <c r="N86" i="3"/>
  <c r="N130" i="3"/>
  <c r="O86" i="3"/>
  <c r="O130" i="3"/>
  <c r="P86" i="3"/>
  <c r="P130" i="3"/>
  <c r="Q86" i="3"/>
  <c r="Q130" i="3"/>
  <c r="R86" i="3"/>
  <c r="R130" i="3"/>
  <c r="S86" i="3"/>
  <c r="S130" i="3"/>
  <c r="T86" i="3"/>
  <c r="T130" i="3"/>
  <c r="U86" i="3"/>
  <c r="U130" i="3"/>
  <c r="V86" i="3"/>
  <c r="V130" i="3"/>
  <c r="W86" i="3"/>
  <c r="W130" i="3"/>
  <c r="X86" i="3"/>
  <c r="X130" i="3"/>
  <c r="Y86" i="3"/>
  <c r="Y130" i="3"/>
  <c r="Z86" i="3"/>
  <c r="Z130" i="3"/>
  <c r="AA86" i="3"/>
  <c r="AA130" i="3"/>
  <c r="AB86" i="3"/>
  <c r="AB130" i="3"/>
  <c r="AC86" i="3"/>
  <c r="AC130" i="3"/>
  <c r="AD86" i="3"/>
  <c r="AD130" i="3"/>
  <c r="AE86" i="3"/>
  <c r="AE130" i="3"/>
  <c r="AF86" i="3"/>
  <c r="AF130" i="3"/>
  <c r="AG86" i="3"/>
  <c r="AG130" i="3"/>
  <c r="AH86" i="3"/>
  <c r="AH130" i="3"/>
  <c r="AI86" i="3"/>
  <c r="AI130" i="3"/>
  <c r="AJ86" i="3"/>
  <c r="AJ130" i="3"/>
  <c r="AK86" i="3"/>
  <c r="AK130" i="3"/>
  <c r="AL86" i="3"/>
  <c r="AL130" i="3"/>
  <c r="AM86" i="3"/>
  <c r="AM130" i="3"/>
  <c r="AN86" i="3"/>
  <c r="AN130" i="3"/>
  <c r="AO86" i="3"/>
  <c r="AO130" i="3"/>
  <c r="A65" i="3"/>
  <c r="B65" i="3"/>
  <c r="B109" i="3"/>
  <c r="C65" i="3"/>
  <c r="C109" i="3"/>
  <c r="D65" i="3"/>
  <c r="D109" i="3"/>
  <c r="E65" i="3"/>
  <c r="E109" i="3"/>
  <c r="F65" i="3"/>
  <c r="F109" i="3"/>
  <c r="G65" i="3"/>
  <c r="G109" i="3"/>
  <c r="H65" i="3"/>
  <c r="H109" i="3"/>
  <c r="I65" i="3"/>
  <c r="I109" i="3"/>
  <c r="J65" i="3"/>
  <c r="J109" i="3"/>
  <c r="K65" i="3"/>
  <c r="K109" i="3"/>
  <c r="L65" i="3"/>
  <c r="L109" i="3"/>
  <c r="M65" i="3"/>
  <c r="M109" i="3"/>
  <c r="N65" i="3"/>
  <c r="N109" i="3"/>
  <c r="O65" i="3"/>
  <c r="O109" i="3"/>
  <c r="P65" i="3"/>
  <c r="P109" i="3"/>
  <c r="Q65" i="3"/>
  <c r="Q109" i="3"/>
  <c r="R65" i="3"/>
  <c r="R109" i="3"/>
  <c r="S65" i="3"/>
  <c r="S109" i="3"/>
  <c r="T65" i="3"/>
  <c r="T109" i="3"/>
  <c r="U65" i="3"/>
  <c r="U109" i="3"/>
  <c r="V65" i="3"/>
  <c r="V109" i="3"/>
  <c r="W65" i="3"/>
  <c r="W109" i="3"/>
  <c r="X65" i="3"/>
  <c r="X109" i="3"/>
  <c r="Y65" i="3"/>
  <c r="Y109" i="3"/>
  <c r="Z65" i="3"/>
  <c r="Z109" i="3"/>
  <c r="AA65" i="3"/>
  <c r="AA109" i="3"/>
  <c r="AB65" i="3"/>
  <c r="AB109" i="3"/>
  <c r="AC65" i="3"/>
  <c r="AC109" i="3"/>
  <c r="AD65" i="3"/>
  <c r="AD109" i="3"/>
  <c r="AE65" i="3"/>
  <c r="AE109" i="3"/>
  <c r="AF65" i="3"/>
  <c r="AF109" i="3"/>
  <c r="AG65" i="3"/>
  <c r="AG109" i="3"/>
  <c r="AH65" i="3"/>
  <c r="AH109" i="3"/>
  <c r="AI65" i="3"/>
  <c r="AI109" i="3"/>
  <c r="AJ65" i="3"/>
  <c r="AJ109" i="3"/>
  <c r="AK65" i="3"/>
  <c r="AK109" i="3"/>
  <c r="AL65" i="3"/>
  <c r="AL109" i="3"/>
  <c r="AM65" i="3"/>
  <c r="AM109" i="3"/>
  <c r="AN65" i="3"/>
  <c r="AN109" i="3"/>
  <c r="AO65" i="3"/>
  <c r="AO109" i="3"/>
  <c r="B87" i="3"/>
  <c r="B131" i="3"/>
  <c r="C87" i="3"/>
  <c r="C131" i="3"/>
  <c r="D87" i="3"/>
  <c r="D131" i="3"/>
  <c r="E87" i="3"/>
  <c r="E131" i="3"/>
  <c r="F87" i="3"/>
  <c r="F131" i="3"/>
  <c r="G87" i="3"/>
  <c r="G131" i="3"/>
  <c r="H87" i="3"/>
  <c r="H131" i="3"/>
  <c r="I87" i="3"/>
  <c r="I131" i="3"/>
  <c r="J87" i="3"/>
  <c r="J131" i="3"/>
  <c r="K87" i="3"/>
  <c r="K131" i="3"/>
  <c r="L87" i="3"/>
  <c r="L131" i="3"/>
  <c r="M87" i="3"/>
  <c r="M131" i="3"/>
  <c r="N87" i="3"/>
  <c r="N131" i="3"/>
  <c r="O87" i="3"/>
  <c r="O131" i="3"/>
  <c r="P87" i="3"/>
  <c r="P131" i="3"/>
  <c r="Q87" i="3"/>
  <c r="Q131" i="3"/>
  <c r="R87" i="3"/>
  <c r="R131" i="3"/>
  <c r="S87" i="3"/>
  <c r="S131" i="3"/>
  <c r="T87" i="3"/>
  <c r="T131" i="3"/>
  <c r="U87" i="3"/>
  <c r="U131" i="3"/>
  <c r="V87" i="3"/>
  <c r="V131" i="3"/>
  <c r="W87" i="3"/>
  <c r="W131" i="3"/>
  <c r="X87" i="3"/>
  <c r="X131" i="3"/>
  <c r="Y87" i="3"/>
  <c r="Y131" i="3"/>
  <c r="Z87" i="3"/>
  <c r="Z131" i="3"/>
  <c r="AA87" i="3"/>
  <c r="AA131" i="3"/>
  <c r="AB87" i="3"/>
  <c r="AB131" i="3"/>
  <c r="AC87" i="3"/>
  <c r="AC131" i="3"/>
  <c r="AD87" i="3"/>
  <c r="AD131" i="3"/>
  <c r="AE87" i="3"/>
  <c r="AE131" i="3"/>
  <c r="AF87" i="3"/>
  <c r="AF131" i="3"/>
  <c r="AG87" i="3"/>
  <c r="AG131" i="3"/>
  <c r="AH87" i="3"/>
  <c r="AH131" i="3"/>
  <c r="AI87" i="3"/>
  <c r="AI131" i="3"/>
  <c r="AJ87" i="3"/>
  <c r="AJ131" i="3"/>
  <c r="AK87" i="3"/>
  <c r="AK131" i="3"/>
  <c r="AL87" i="3"/>
  <c r="AL131" i="3"/>
  <c r="AM87" i="3"/>
  <c r="AM131" i="3"/>
  <c r="AN87" i="3"/>
  <c r="AN131" i="3"/>
  <c r="AO87" i="3"/>
  <c r="AO131" i="3"/>
  <c r="A66" i="3"/>
  <c r="B66" i="3"/>
  <c r="B110" i="3"/>
  <c r="C66" i="3"/>
  <c r="C110" i="3"/>
  <c r="D66" i="3"/>
  <c r="D110" i="3"/>
  <c r="E66" i="3"/>
  <c r="E110" i="3"/>
  <c r="F66" i="3"/>
  <c r="F110" i="3"/>
  <c r="G66" i="3"/>
  <c r="G110" i="3"/>
  <c r="H66" i="3"/>
  <c r="H110" i="3"/>
  <c r="I66" i="3"/>
  <c r="I110" i="3"/>
  <c r="J66" i="3"/>
  <c r="J110" i="3"/>
  <c r="K66" i="3"/>
  <c r="K110" i="3"/>
  <c r="L66" i="3"/>
  <c r="L110" i="3"/>
  <c r="M66" i="3"/>
  <c r="M110" i="3"/>
  <c r="N66" i="3"/>
  <c r="N110" i="3"/>
  <c r="O66" i="3"/>
  <c r="O110" i="3"/>
  <c r="P66" i="3"/>
  <c r="P110" i="3"/>
  <c r="Q66" i="3"/>
  <c r="Q110" i="3"/>
  <c r="R66" i="3"/>
  <c r="R110" i="3"/>
  <c r="S66" i="3"/>
  <c r="S110" i="3"/>
  <c r="T66" i="3"/>
  <c r="T110" i="3"/>
  <c r="U66" i="3"/>
  <c r="U110" i="3"/>
  <c r="V66" i="3"/>
  <c r="V110" i="3"/>
  <c r="W66" i="3"/>
  <c r="W110" i="3"/>
  <c r="X66" i="3"/>
  <c r="X110" i="3"/>
  <c r="Y66" i="3"/>
  <c r="Y110" i="3"/>
  <c r="Z66" i="3"/>
  <c r="Z110" i="3"/>
  <c r="AA66" i="3"/>
  <c r="AA110" i="3"/>
  <c r="AB66" i="3"/>
  <c r="AB110" i="3"/>
  <c r="AC66" i="3"/>
  <c r="AC110" i="3"/>
  <c r="AD66" i="3"/>
  <c r="AD110" i="3"/>
  <c r="AE66" i="3"/>
  <c r="AE110" i="3"/>
  <c r="AF66" i="3"/>
  <c r="AF110" i="3"/>
  <c r="AG66" i="3"/>
  <c r="AG110" i="3"/>
  <c r="AH66" i="3"/>
  <c r="AH110" i="3"/>
  <c r="AI66" i="3"/>
  <c r="AI110" i="3"/>
  <c r="AJ66" i="3"/>
  <c r="AJ110" i="3"/>
  <c r="AK66" i="3"/>
  <c r="AK110" i="3"/>
  <c r="AL66" i="3"/>
  <c r="AL110" i="3"/>
  <c r="AM66" i="3"/>
  <c r="AM110" i="3"/>
  <c r="AN66" i="3"/>
  <c r="AN110" i="3"/>
  <c r="AO66" i="3"/>
  <c r="AO110" i="3"/>
  <c r="B88" i="3"/>
  <c r="B132" i="3"/>
  <c r="C88" i="3"/>
  <c r="C132" i="3"/>
  <c r="D88" i="3"/>
  <c r="D132" i="3"/>
  <c r="E88" i="3"/>
  <c r="E132" i="3"/>
  <c r="F88" i="3"/>
  <c r="F132" i="3"/>
  <c r="G88" i="3"/>
  <c r="G132" i="3"/>
  <c r="H88" i="3"/>
  <c r="H132" i="3"/>
  <c r="I88" i="3"/>
  <c r="I132" i="3"/>
  <c r="J88" i="3"/>
  <c r="J132" i="3"/>
  <c r="K88" i="3"/>
  <c r="K132" i="3"/>
  <c r="L88" i="3"/>
  <c r="L132" i="3"/>
  <c r="M88" i="3"/>
  <c r="M132" i="3"/>
  <c r="N88" i="3"/>
  <c r="N132" i="3"/>
  <c r="O88" i="3"/>
  <c r="O132" i="3"/>
  <c r="P88" i="3"/>
  <c r="P132" i="3"/>
  <c r="Q88" i="3"/>
  <c r="Q132" i="3"/>
  <c r="R88" i="3"/>
  <c r="R132" i="3"/>
  <c r="S88" i="3"/>
  <c r="S132" i="3"/>
  <c r="T88" i="3"/>
  <c r="T132" i="3"/>
  <c r="U88" i="3"/>
  <c r="U132" i="3"/>
  <c r="V88" i="3"/>
  <c r="V132" i="3"/>
  <c r="W88" i="3"/>
  <c r="W132" i="3"/>
  <c r="X88" i="3"/>
  <c r="X132" i="3"/>
  <c r="Y88" i="3"/>
  <c r="Y132" i="3"/>
  <c r="Z88" i="3"/>
  <c r="Z132" i="3"/>
  <c r="AA88" i="3"/>
  <c r="AA132" i="3"/>
  <c r="AB88" i="3"/>
  <c r="AB132" i="3"/>
  <c r="AC88" i="3"/>
  <c r="AC132" i="3"/>
  <c r="AD88" i="3"/>
  <c r="AD132" i="3"/>
  <c r="AE88" i="3"/>
  <c r="AE132" i="3"/>
  <c r="AF88" i="3"/>
  <c r="AF132" i="3"/>
  <c r="AG88" i="3"/>
  <c r="AG132" i="3"/>
  <c r="AH88" i="3"/>
  <c r="AH132" i="3"/>
  <c r="AI88" i="3"/>
  <c r="AI132" i="3"/>
  <c r="AJ88" i="3"/>
  <c r="AJ132" i="3"/>
  <c r="AK88" i="3"/>
  <c r="AK132" i="3"/>
  <c r="AL88" i="3"/>
  <c r="AL132" i="3"/>
  <c r="AM88" i="3"/>
  <c r="AM132" i="3"/>
  <c r="AN88" i="3"/>
  <c r="AN132" i="3"/>
  <c r="AO88" i="3"/>
  <c r="AO132" i="3"/>
  <c r="N22" i="3"/>
  <c r="A48" i="3" s="1"/>
  <c r="J22" i="3"/>
  <c r="N21" i="3"/>
  <c r="A47" i="3" s="1"/>
  <c r="J21" i="3"/>
  <c r="U13" i="3"/>
  <c r="C19" i="2"/>
  <c r="U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U11" i="3"/>
  <c r="G33" i="2"/>
  <c r="C90" i="5"/>
  <c r="C84" i="5"/>
  <c r="C82" i="5"/>
  <c r="B9" i="3"/>
  <c r="B7" i="3"/>
  <c r="F13" i="3"/>
  <c r="F7" i="3"/>
  <c r="B45" i="3"/>
  <c r="AM41" i="3"/>
  <c r="J4" i="2"/>
  <c r="M12" i="3"/>
  <c r="B11" i="3"/>
  <c r="F19" i="2"/>
  <c r="C28" i="2"/>
  <c r="A82" i="3"/>
  <c r="A104" i="3"/>
  <c r="A126" i="3"/>
  <c r="A88" i="3"/>
  <c r="A110" i="3"/>
  <c r="A132" i="3"/>
  <c r="A81" i="3"/>
  <c r="A103" i="3"/>
  <c r="A125" i="3"/>
  <c r="A87" i="3"/>
  <c r="A109" i="3"/>
  <c r="A131" i="3"/>
  <c r="A80" i="3"/>
  <c r="A102" i="3"/>
  <c r="A124" i="3"/>
  <c r="A85" i="3"/>
  <c r="A107" i="3"/>
  <c r="A129" i="3"/>
  <c r="A86" i="3"/>
  <c r="A108" i="3"/>
  <c r="A130" i="3"/>
  <c r="A83" i="3"/>
  <c r="A105" i="3"/>
  <c r="A127" i="3"/>
  <c r="A84" i="3"/>
  <c r="A106" i="3"/>
  <c r="A128" i="3"/>
  <c r="AP125" i="3"/>
  <c r="AP131" i="3"/>
  <c r="AP128" i="3"/>
  <c r="AP127" i="3"/>
  <c r="AP130" i="3"/>
  <c r="AP124" i="3"/>
  <c r="AP129" i="3"/>
  <c r="AP126" i="3"/>
  <c r="AP132" i="3"/>
  <c r="A75" i="3" l="1"/>
  <c r="A97" i="3" s="1"/>
  <c r="A119" i="3" s="1"/>
  <c r="S78" i="3"/>
  <c r="S122" i="3" s="1"/>
  <c r="F74" i="3"/>
  <c r="F118" i="3" s="1"/>
  <c r="F76" i="3"/>
  <c r="F120" i="3" s="1"/>
  <c r="R78" i="3"/>
  <c r="R122" i="3" s="1"/>
  <c r="E76" i="3"/>
  <c r="E120" i="3" s="1"/>
  <c r="D76" i="3"/>
  <c r="D120" i="3" s="1"/>
  <c r="E74" i="3"/>
  <c r="E118" i="3" s="1"/>
  <c r="H72" i="3"/>
  <c r="H116" i="3" s="1"/>
  <c r="G72" i="3"/>
  <c r="G116" i="3" s="1"/>
  <c r="F72" i="3"/>
  <c r="F116" i="3" s="1"/>
  <c r="E72" i="3"/>
  <c r="E116" i="3" s="1"/>
  <c r="D72" i="3"/>
  <c r="D116" i="3" s="1"/>
  <c r="C72" i="3"/>
  <c r="C116" i="3" s="1"/>
  <c r="G69" i="3"/>
  <c r="G113" i="3" s="1"/>
  <c r="I6" i="2"/>
  <c r="F21" i="2" s="1"/>
  <c r="M3" i="2"/>
  <c r="M4" i="2" s="1"/>
  <c r="M7" i="2" s="1"/>
  <c r="M8" i="2" s="1"/>
  <c r="D77" i="3"/>
  <c r="D121" i="3" s="1"/>
  <c r="E77" i="3"/>
  <c r="E121" i="3" s="1"/>
  <c r="C76" i="3"/>
  <c r="C120" i="3" s="1"/>
  <c r="B76" i="3"/>
  <c r="B120" i="3" s="1"/>
  <c r="L75" i="3"/>
  <c r="L119" i="3" s="1"/>
  <c r="G75" i="3"/>
  <c r="G119" i="3" s="1"/>
  <c r="F75" i="3"/>
  <c r="F119" i="3" s="1"/>
  <c r="D74" i="3"/>
  <c r="D118" i="3" s="1"/>
  <c r="AN41" i="3"/>
  <c r="AO41" i="3" s="1"/>
  <c r="AH52" i="3"/>
  <c r="AH96" i="3" s="1"/>
  <c r="C74" i="3"/>
  <c r="C118" i="3" s="1"/>
  <c r="AL52" i="3"/>
  <c r="AL96" i="3" s="1"/>
  <c r="AA69" i="3"/>
  <c r="AA113" i="3" s="1"/>
  <c r="A73" i="3"/>
  <c r="A95" i="3" s="1"/>
  <c r="A117" i="3" s="1"/>
  <c r="A78" i="3"/>
  <c r="A100" i="3" s="1"/>
  <c r="A122" i="3" s="1"/>
  <c r="AC51" i="3"/>
  <c r="AC95" i="3" s="1"/>
  <c r="L79" i="3"/>
  <c r="L123" i="3" s="1"/>
  <c r="F31" i="3"/>
  <c r="R31" i="3" s="1"/>
  <c r="H31" i="3" s="1"/>
  <c r="I31" i="3" s="1"/>
  <c r="H78" i="3"/>
  <c r="H122" i="3" s="1"/>
  <c r="M77" i="3"/>
  <c r="M121" i="3" s="1"/>
  <c r="L77" i="3"/>
  <c r="L121" i="3" s="1"/>
  <c r="J77" i="3"/>
  <c r="J121" i="3" s="1"/>
  <c r="F77" i="3"/>
  <c r="F121" i="3" s="1"/>
  <c r="E75" i="3"/>
  <c r="E119" i="3" s="1"/>
  <c r="D75" i="3"/>
  <c r="D119" i="3" s="1"/>
  <c r="X53" i="3"/>
  <c r="X97" i="3" s="1"/>
  <c r="C75" i="3"/>
  <c r="C119" i="3" s="1"/>
  <c r="N74" i="3"/>
  <c r="N118" i="3" s="1"/>
  <c r="D73" i="3"/>
  <c r="D117" i="3" s="1"/>
  <c r="C73" i="3"/>
  <c r="C117" i="3" s="1"/>
  <c r="B73" i="3"/>
  <c r="B117" i="3" s="1"/>
  <c r="F24" i="3"/>
  <c r="R24" i="3" s="1"/>
  <c r="H24" i="3" s="1"/>
  <c r="I24" i="3" s="1"/>
  <c r="B72" i="3"/>
  <c r="B116" i="3" s="1"/>
  <c r="Z72" i="3"/>
  <c r="Z116" i="3" s="1"/>
  <c r="Y70" i="3"/>
  <c r="Y114" i="3" s="1"/>
  <c r="L70" i="3"/>
  <c r="L114" i="3" s="1"/>
  <c r="X70" i="3"/>
  <c r="X114" i="3" s="1"/>
  <c r="K70" i="3"/>
  <c r="K114" i="3" s="1"/>
  <c r="AJ70" i="3"/>
  <c r="AJ114" i="3" s="1"/>
  <c r="W70" i="3"/>
  <c r="W114" i="3" s="1"/>
  <c r="J70" i="3"/>
  <c r="J114" i="3" s="1"/>
  <c r="AI70" i="3"/>
  <c r="AI114" i="3" s="1"/>
  <c r="V70" i="3"/>
  <c r="V114" i="3" s="1"/>
  <c r="I70" i="3"/>
  <c r="I114" i="3" s="1"/>
  <c r="AH70" i="3"/>
  <c r="AH114" i="3" s="1"/>
  <c r="T70" i="3"/>
  <c r="T114" i="3" s="1"/>
  <c r="H70" i="3"/>
  <c r="H114" i="3" s="1"/>
  <c r="AG70" i="3"/>
  <c r="AG114" i="3" s="1"/>
  <c r="S70" i="3"/>
  <c r="S114" i="3" s="1"/>
  <c r="G70" i="3"/>
  <c r="G114" i="3" s="1"/>
  <c r="AE70" i="3"/>
  <c r="AE114" i="3" s="1"/>
  <c r="R70" i="3"/>
  <c r="R114" i="3" s="1"/>
  <c r="F70" i="3"/>
  <c r="F114" i="3" s="1"/>
  <c r="AD70" i="3"/>
  <c r="AD114" i="3" s="1"/>
  <c r="Q70" i="3"/>
  <c r="Q114" i="3" s="1"/>
  <c r="E70" i="3"/>
  <c r="E114" i="3" s="1"/>
  <c r="F22" i="3"/>
  <c r="R22" i="3" s="1"/>
  <c r="H22" i="3" s="1"/>
  <c r="I22" i="3" s="1"/>
  <c r="AC70" i="3"/>
  <c r="AC114" i="3" s="1"/>
  <c r="P70" i="3"/>
  <c r="P114" i="3" s="1"/>
  <c r="D70" i="3"/>
  <c r="D114" i="3" s="1"/>
  <c r="AB70" i="3"/>
  <c r="AB114" i="3" s="1"/>
  <c r="O70" i="3"/>
  <c r="O114" i="3" s="1"/>
  <c r="AA70" i="3"/>
  <c r="AA114" i="3" s="1"/>
  <c r="N70" i="3"/>
  <c r="N114" i="3" s="1"/>
  <c r="C70" i="3"/>
  <c r="C114" i="3" s="1"/>
  <c r="Z70" i="3"/>
  <c r="Z114" i="3" s="1"/>
  <c r="M70" i="3"/>
  <c r="M114" i="3" s="1"/>
  <c r="B70" i="3"/>
  <c r="B114" i="3" s="1"/>
  <c r="F69" i="3"/>
  <c r="F113" i="3" s="1"/>
  <c r="AL69" i="3"/>
  <c r="AL113" i="3" s="1"/>
  <c r="AK69" i="3"/>
  <c r="AK113" i="3" s="1"/>
  <c r="AH69" i="3"/>
  <c r="AH113" i="3" s="1"/>
  <c r="AC69" i="3"/>
  <c r="AC113" i="3" s="1"/>
  <c r="AB69" i="3"/>
  <c r="AB113" i="3" s="1"/>
  <c r="E69" i="3"/>
  <c r="E113" i="3" s="1"/>
  <c r="W69" i="3"/>
  <c r="W113" i="3" s="1"/>
  <c r="U69" i="3"/>
  <c r="U113" i="3" s="1"/>
  <c r="AN69" i="3"/>
  <c r="AN113" i="3" s="1"/>
  <c r="R69" i="3"/>
  <c r="R113" i="3" s="1"/>
  <c r="AM69" i="3"/>
  <c r="AM113" i="3" s="1"/>
  <c r="Q69" i="3"/>
  <c r="Q113" i="3" s="1"/>
  <c r="P69" i="3"/>
  <c r="P113" i="3" s="1"/>
  <c r="L69" i="3"/>
  <c r="L113" i="3" s="1"/>
  <c r="J69" i="3"/>
  <c r="J113" i="3" s="1"/>
  <c r="AF69" i="3"/>
  <c r="AF113" i="3" s="1"/>
  <c r="H69" i="3"/>
  <c r="H113" i="3" s="1"/>
  <c r="C47" i="3"/>
  <c r="C91" i="3" s="1"/>
  <c r="T47" i="3"/>
  <c r="T91" i="3" s="1"/>
  <c r="B48" i="3"/>
  <c r="B92" i="3" s="1"/>
  <c r="W48" i="3"/>
  <c r="W92" i="3" s="1"/>
  <c r="AJ56" i="3"/>
  <c r="AJ100" i="3" s="1"/>
  <c r="AA56" i="3"/>
  <c r="AA100" i="3" s="1"/>
  <c r="AD56" i="3"/>
  <c r="AD78" i="3" s="1"/>
  <c r="AD122" i="3" s="1"/>
  <c r="Z56" i="3"/>
  <c r="Z100" i="3" s="1"/>
  <c r="U53" i="3"/>
  <c r="U97" i="3" s="1"/>
  <c r="T53" i="3"/>
  <c r="T97" i="3" s="1"/>
  <c r="J79" i="3"/>
  <c r="J123" i="3" s="1"/>
  <c r="I79" i="3"/>
  <c r="I123" i="3" s="1"/>
  <c r="G79" i="3"/>
  <c r="G123" i="3" s="1"/>
  <c r="R79" i="3"/>
  <c r="R123" i="3" s="1"/>
  <c r="F79" i="3"/>
  <c r="F123" i="3" s="1"/>
  <c r="Q79" i="3"/>
  <c r="Q123" i="3" s="1"/>
  <c r="P79" i="3"/>
  <c r="P123" i="3" s="1"/>
  <c r="E79" i="3"/>
  <c r="E123" i="3" s="1"/>
  <c r="O79" i="3"/>
  <c r="O123" i="3" s="1"/>
  <c r="N79" i="3"/>
  <c r="N123" i="3" s="1"/>
  <c r="D79" i="3"/>
  <c r="D123" i="3" s="1"/>
  <c r="M79" i="3"/>
  <c r="M123" i="3" s="1"/>
  <c r="C79" i="3"/>
  <c r="C123" i="3" s="1"/>
  <c r="K79" i="3"/>
  <c r="K123" i="3" s="1"/>
  <c r="B79" i="3"/>
  <c r="B123" i="3" s="1"/>
  <c r="F30" i="3"/>
  <c r="Q56" i="3"/>
  <c r="Q100" i="3" s="1"/>
  <c r="P56" i="3"/>
  <c r="P100" i="3" s="1"/>
  <c r="N56" i="3"/>
  <c r="N100" i="3" s="1"/>
  <c r="M56" i="3"/>
  <c r="M100" i="3" s="1"/>
  <c r="K56" i="3"/>
  <c r="K100" i="3" s="1"/>
  <c r="E56" i="3"/>
  <c r="E100" i="3" s="1"/>
  <c r="AO56" i="3"/>
  <c r="AO78" i="3" s="1"/>
  <c r="AO122" i="3" s="1"/>
  <c r="Y56" i="3"/>
  <c r="Y100" i="3" s="1"/>
  <c r="AM56" i="3"/>
  <c r="AM78" i="3" s="1"/>
  <c r="AM122" i="3" s="1"/>
  <c r="W56" i="3"/>
  <c r="W100" i="3" s="1"/>
  <c r="AL56" i="3"/>
  <c r="AL78" i="3" s="1"/>
  <c r="AL122" i="3" s="1"/>
  <c r="V56" i="3"/>
  <c r="V100" i="3" s="1"/>
  <c r="AK56" i="3"/>
  <c r="AK78" i="3" s="1"/>
  <c r="AK122" i="3" s="1"/>
  <c r="Q78" i="3"/>
  <c r="Q122" i="3" s="1"/>
  <c r="G78" i="3"/>
  <c r="G122" i="3" s="1"/>
  <c r="P78" i="3"/>
  <c r="P122" i="3" s="1"/>
  <c r="F78" i="3"/>
  <c r="F122" i="3" s="1"/>
  <c r="AE78" i="3"/>
  <c r="AE122" i="3" s="1"/>
  <c r="O78" i="3"/>
  <c r="O122" i="3" s="1"/>
  <c r="N78" i="3"/>
  <c r="N122" i="3" s="1"/>
  <c r="E78" i="3"/>
  <c r="E122" i="3" s="1"/>
  <c r="J56" i="3"/>
  <c r="J100" i="3" s="1"/>
  <c r="AI56" i="3"/>
  <c r="D78" i="3"/>
  <c r="D122" i="3" s="1"/>
  <c r="H56" i="3"/>
  <c r="H100" i="3" s="1"/>
  <c r="AG56" i="3"/>
  <c r="AG100" i="3" s="1"/>
  <c r="M78" i="3"/>
  <c r="M122" i="3" s="1"/>
  <c r="C78" i="3"/>
  <c r="C122" i="3" s="1"/>
  <c r="G56" i="3"/>
  <c r="G100" i="3" s="1"/>
  <c r="AF56" i="3"/>
  <c r="L78" i="3"/>
  <c r="L122" i="3" s="1"/>
  <c r="B78" i="3"/>
  <c r="B122" i="3" s="1"/>
  <c r="K78" i="3"/>
  <c r="K122" i="3" s="1"/>
  <c r="T56" i="3"/>
  <c r="T100" i="3" s="1"/>
  <c r="AC56" i="3"/>
  <c r="AC78" i="3" s="1"/>
  <c r="AC122" i="3" s="1"/>
  <c r="J78" i="3"/>
  <c r="J122" i="3" s="1"/>
  <c r="S56" i="3"/>
  <c r="S100" i="3" s="1"/>
  <c r="B56" i="3"/>
  <c r="B100" i="3" s="1"/>
  <c r="C77" i="3"/>
  <c r="C121" i="3" s="1"/>
  <c r="R77" i="3"/>
  <c r="R121" i="3" s="1"/>
  <c r="Q77" i="3"/>
  <c r="Q121" i="3" s="1"/>
  <c r="P77" i="3"/>
  <c r="P121" i="3" s="1"/>
  <c r="O77" i="3"/>
  <c r="O121" i="3" s="1"/>
  <c r="N77" i="3"/>
  <c r="N121" i="3" s="1"/>
  <c r="F29" i="3"/>
  <c r="K77" i="3"/>
  <c r="K121" i="3" s="1"/>
  <c r="B77" i="3"/>
  <c r="B121" i="3" s="1"/>
  <c r="I77" i="3"/>
  <c r="I121" i="3" s="1"/>
  <c r="H77" i="3"/>
  <c r="H121" i="3" s="1"/>
  <c r="S77" i="3"/>
  <c r="S121" i="3" s="1"/>
  <c r="F28" i="3"/>
  <c r="F98" i="3"/>
  <c r="Q76" i="3"/>
  <c r="Q120" i="3" s="1"/>
  <c r="Z54" i="3"/>
  <c r="Z98" i="3" s="1"/>
  <c r="Q54" i="3"/>
  <c r="Q98" i="3" s="1"/>
  <c r="P54" i="3"/>
  <c r="P98" i="3" s="1"/>
  <c r="P76" i="3"/>
  <c r="P120" i="3" s="1"/>
  <c r="O76" i="3"/>
  <c r="O120" i="3" s="1"/>
  <c r="AM54" i="3"/>
  <c r="AM98" i="3" s="1"/>
  <c r="N76" i="3"/>
  <c r="N120" i="3" s="1"/>
  <c r="M76" i="3"/>
  <c r="M120" i="3" s="1"/>
  <c r="L54" i="3"/>
  <c r="L98" i="3" s="1"/>
  <c r="AI54" i="3"/>
  <c r="K54" i="3"/>
  <c r="K98" i="3" s="1"/>
  <c r="AH54" i="3"/>
  <c r="I54" i="3"/>
  <c r="I98" i="3" s="1"/>
  <c r="AE54" i="3"/>
  <c r="AE98" i="3" s="1"/>
  <c r="L76" i="3"/>
  <c r="L120" i="3" s="1"/>
  <c r="AC54" i="3"/>
  <c r="AC98" i="3" s="1"/>
  <c r="K76" i="3"/>
  <c r="K120" i="3" s="1"/>
  <c r="E54" i="3"/>
  <c r="E98" i="3" s="1"/>
  <c r="T76" i="3"/>
  <c r="T120" i="3" s="1"/>
  <c r="J76" i="3"/>
  <c r="J120" i="3" s="1"/>
  <c r="A76" i="3"/>
  <c r="A98" i="3" s="1"/>
  <c r="A120" i="3" s="1"/>
  <c r="W54" i="3"/>
  <c r="W98" i="3" s="1"/>
  <c r="I76" i="3"/>
  <c r="I120" i="3" s="1"/>
  <c r="V54" i="3"/>
  <c r="V98" i="3" s="1"/>
  <c r="S76" i="3"/>
  <c r="S120" i="3" s="1"/>
  <c r="H76" i="3"/>
  <c r="H120" i="3" s="1"/>
  <c r="S54" i="3"/>
  <c r="S98" i="3" s="1"/>
  <c r="AN54" i="3"/>
  <c r="AN98" i="3" s="1"/>
  <c r="R76" i="3"/>
  <c r="R120" i="3" s="1"/>
  <c r="S75" i="3"/>
  <c r="S119" i="3" s="1"/>
  <c r="R75" i="3"/>
  <c r="R119" i="3" s="1"/>
  <c r="Q75" i="3"/>
  <c r="Q119" i="3" s="1"/>
  <c r="B53" i="3"/>
  <c r="B97" i="3" s="1"/>
  <c r="AM53" i="3"/>
  <c r="AM75" i="3" s="1"/>
  <c r="AM119" i="3" s="1"/>
  <c r="AJ53" i="3"/>
  <c r="AJ97" i="3" s="1"/>
  <c r="AI53" i="3"/>
  <c r="AI75" i="3" s="1"/>
  <c r="AI119" i="3" s="1"/>
  <c r="P75" i="3"/>
  <c r="P119" i="3" s="1"/>
  <c r="O75" i="3"/>
  <c r="O119" i="3" s="1"/>
  <c r="N75" i="3"/>
  <c r="N119" i="3" s="1"/>
  <c r="F27" i="3"/>
  <c r="AA53" i="3"/>
  <c r="AA97" i="3" s="1"/>
  <c r="M75" i="3"/>
  <c r="M119" i="3" s="1"/>
  <c r="I97" i="3"/>
  <c r="AE53" i="3"/>
  <c r="AE75" i="3" s="1"/>
  <c r="AE119" i="3" s="1"/>
  <c r="B75" i="3"/>
  <c r="B119" i="3" s="1"/>
  <c r="O53" i="3"/>
  <c r="O97" i="3" s="1"/>
  <c r="K75" i="3"/>
  <c r="K119" i="3" s="1"/>
  <c r="N53" i="3"/>
  <c r="N97" i="3" s="1"/>
  <c r="J75" i="3"/>
  <c r="J119" i="3" s="1"/>
  <c r="H53" i="3"/>
  <c r="H97" i="3" s="1"/>
  <c r="U75" i="3"/>
  <c r="U119" i="3" s="1"/>
  <c r="I75" i="3"/>
  <c r="I119" i="3" s="1"/>
  <c r="F53" i="3"/>
  <c r="F97" i="3" s="1"/>
  <c r="AB53" i="3"/>
  <c r="AB97" i="3" s="1"/>
  <c r="T75" i="3"/>
  <c r="T119" i="3" s="1"/>
  <c r="B74" i="3"/>
  <c r="B118" i="3" s="1"/>
  <c r="Z96" i="3"/>
  <c r="V74" i="3"/>
  <c r="V118" i="3" s="1"/>
  <c r="R74" i="3"/>
  <c r="R118" i="3" s="1"/>
  <c r="Q74" i="3"/>
  <c r="Q118" i="3" s="1"/>
  <c r="P74" i="3"/>
  <c r="P118" i="3" s="1"/>
  <c r="O74" i="3"/>
  <c r="O118" i="3" s="1"/>
  <c r="Z74" i="3"/>
  <c r="Z118" i="3" s="1"/>
  <c r="M74" i="3"/>
  <c r="M118" i="3" s="1"/>
  <c r="L74" i="3"/>
  <c r="L118" i="3" s="1"/>
  <c r="F26" i="3"/>
  <c r="K74" i="3"/>
  <c r="K118" i="3" s="1"/>
  <c r="J74" i="3"/>
  <c r="J118" i="3" s="1"/>
  <c r="AF52" i="3"/>
  <c r="P52" i="3"/>
  <c r="P96" i="3" s="1"/>
  <c r="J52" i="3"/>
  <c r="J96" i="3" s="1"/>
  <c r="I52" i="3"/>
  <c r="I96" i="3" s="1"/>
  <c r="AD52" i="3"/>
  <c r="AD96" i="3" s="1"/>
  <c r="D52" i="3"/>
  <c r="D96" i="3" s="1"/>
  <c r="U74" i="3"/>
  <c r="U118" i="3" s="1"/>
  <c r="I74" i="3"/>
  <c r="I118" i="3" s="1"/>
  <c r="T74" i="3"/>
  <c r="T118" i="3" s="1"/>
  <c r="H74" i="3"/>
  <c r="H118" i="3" s="1"/>
  <c r="A74" i="3"/>
  <c r="A96" i="3" s="1"/>
  <c r="A118" i="3" s="1"/>
  <c r="B52" i="3"/>
  <c r="B96" i="3" s="1"/>
  <c r="S74" i="3"/>
  <c r="S118" i="3" s="1"/>
  <c r="F25" i="3"/>
  <c r="R25" i="3" s="1"/>
  <c r="H25" i="3" s="1"/>
  <c r="I25" i="3" s="1"/>
  <c r="W73" i="3"/>
  <c r="W117" i="3" s="1"/>
  <c r="K51" i="3"/>
  <c r="K95" i="3" s="1"/>
  <c r="V73" i="3"/>
  <c r="V117" i="3" s="1"/>
  <c r="U73" i="3"/>
  <c r="U117" i="3" s="1"/>
  <c r="T73" i="3"/>
  <c r="T117" i="3" s="1"/>
  <c r="AO51" i="3"/>
  <c r="AO73" i="3" s="1"/>
  <c r="AO117" i="3" s="1"/>
  <c r="AL51" i="3"/>
  <c r="AL95" i="3" s="1"/>
  <c r="M73" i="3"/>
  <c r="M117" i="3" s="1"/>
  <c r="L73" i="3"/>
  <c r="L117" i="3" s="1"/>
  <c r="K73" i="3"/>
  <c r="K117" i="3" s="1"/>
  <c r="S73" i="3"/>
  <c r="S117" i="3" s="1"/>
  <c r="J73" i="3"/>
  <c r="J117" i="3" s="1"/>
  <c r="I73" i="3"/>
  <c r="I117" i="3" s="1"/>
  <c r="AK51" i="3"/>
  <c r="R73" i="3"/>
  <c r="R117" i="3" s="1"/>
  <c r="H73" i="3"/>
  <c r="H117" i="3" s="1"/>
  <c r="P95" i="3"/>
  <c r="Q73" i="3"/>
  <c r="Q117" i="3" s="1"/>
  <c r="G73" i="3"/>
  <c r="G117" i="3" s="1"/>
  <c r="AG51" i="3"/>
  <c r="AG95" i="3" s="1"/>
  <c r="P73" i="3"/>
  <c r="P117" i="3" s="1"/>
  <c r="O73" i="3"/>
  <c r="O117" i="3" s="1"/>
  <c r="F73" i="3"/>
  <c r="F117" i="3" s="1"/>
  <c r="AF51" i="3"/>
  <c r="AF95" i="3" s="1"/>
  <c r="X73" i="3"/>
  <c r="X117" i="3" s="1"/>
  <c r="N73" i="3"/>
  <c r="N117" i="3" s="1"/>
  <c r="W72" i="3"/>
  <c r="W116" i="3" s="1"/>
  <c r="V72" i="3"/>
  <c r="V116" i="3" s="1"/>
  <c r="S72" i="3"/>
  <c r="S116" i="3" s="1"/>
  <c r="R72" i="3"/>
  <c r="R116" i="3" s="1"/>
  <c r="Q72" i="3"/>
  <c r="Q116" i="3" s="1"/>
  <c r="P72" i="3"/>
  <c r="P116" i="3" s="1"/>
  <c r="O72" i="3"/>
  <c r="O116" i="3" s="1"/>
  <c r="N72" i="3"/>
  <c r="N116" i="3" s="1"/>
  <c r="D94" i="3"/>
  <c r="M72" i="3"/>
  <c r="M116" i="3" s="1"/>
  <c r="Y72" i="3"/>
  <c r="Y116" i="3" s="1"/>
  <c r="L72" i="3"/>
  <c r="L116" i="3" s="1"/>
  <c r="X72" i="3"/>
  <c r="X116" i="3" s="1"/>
  <c r="K72" i="3"/>
  <c r="K116" i="3" s="1"/>
  <c r="U72" i="3"/>
  <c r="U116" i="3" s="1"/>
  <c r="J72" i="3"/>
  <c r="J116" i="3" s="1"/>
  <c r="T72" i="3"/>
  <c r="T116" i="3" s="1"/>
  <c r="F23" i="3"/>
  <c r="R23" i="3" s="1"/>
  <c r="H23" i="3" s="1"/>
  <c r="I23" i="3" s="1"/>
  <c r="W71" i="3"/>
  <c r="W115" i="3" s="1"/>
  <c r="L71" i="3"/>
  <c r="L115" i="3" s="1"/>
  <c r="V71" i="3"/>
  <c r="V115" i="3" s="1"/>
  <c r="K71" i="3"/>
  <c r="K115" i="3" s="1"/>
  <c r="J71" i="3"/>
  <c r="J115" i="3" s="1"/>
  <c r="T71" i="3"/>
  <c r="T115" i="3" s="1"/>
  <c r="I71" i="3"/>
  <c r="I115" i="3" s="1"/>
  <c r="S71" i="3"/>
  <c r="S115" i="3" s="1"/>
  <c r="H71" i="3"/>
  <c r="H115" i="3" s="1"/>
  <c r="U71" i="3"/>
  <c r="U115" i="3" s="1"/>
  <c r="AC71" i="3"/>
  <c r="AC115" i="3" s="1"/>
  <c r="R71" i="3"/>
  <c r="R115" i="3" s="1"/>
  <c r="G71" i="3"/>
  <c r="G115" i="3" s="1"/>
  <c r="AB71" i="3"/>
  <c r="AB115" i="3" s="1"/>
  <c r="Q71" i="3"/>
  <c r="Q115" i="3" s="1"/>
  <c r="F71" i="3"/>
  <c r="F115" i="3" s="1"/>
  <c r="AA71" i="3"/>
  <c r="AA115" i="3" s="1"/>
  <c r="P71" i="3"/>
  <c r="P115" i="3" s="1"/>
  <c r="E71" i="3"/>
  <c r="E115" i="3" s="1"/>
  <c r="O71" i="3"/>
  <c r="O115" i="3" s="1"/>
  <c r="Y71" i="3"/>
  <c r="Y115" i="3" s="1"/>
  <c r="N71" i="3"/>
  <c r="N115" i="3" s="1"/>
  <c r="C71" i="3"/>
  <c r="C115" i="3" s="1"/>
  <c r="Z71" i="3"/>
  <c r="Z115" i="3" s="1"/>
  <c r="D71" i="3"/>
  <c r="D115" i="3" s="1"/>
  <c r="X71" i="3"/>
  <c r="X115" i="3" s="1"/>
  <c r="M71" i="3"/>
  <c r="M115" i="3" s="1"/>
  <c r="AF70" i="3"/>
  <c r="AF114" i="3" s="1"/>
  <c r="O69" i="3"/>
  <c r="O113" i="3" s="1"/>
  <c r="H21" i="3"/>
  <c r="I21" i="3" s="1"/>
  <c r="AJ69" i="3"/>
  <c r="AJ113" i="3" s="1"/>
  <c r="Y69" i="3"/>
  <c r="Y113" i="3" s="1"/>
  <c r="N69" i="3"/>
  <c r="N113" i="3" s="1"/>
  <c r="C69" i="3"/>
  <c r="C113" i="3" s="1"/>
  <c r="Z69" i="3"/>
  <c r="Z113" i="3" s="1"/>
  <c r="D69" i="3"/>
  <c r="D113" i="3" s="1"/>
  <c r="AE47" i="3"/>
  <c r="AE91" i="3" s="1"/>
  <c r="AI69" i="3"/>
  <c r="AI113" i="3" s="1"/>
  <c r="X69" i="3"/>
  <c r="X113" i="3" s="1"/>
  <c r="M69" i="3"/>
  <c r="M113" i="3" s="1"/>
  <c r="B69" i="3"/>
  <c r="B113" i="3" s="1"/>
  <c r="M47" i="3"/>
  <c r="M91" i="3" s="1"/>
  <c r="AG69" i="3"/>
  <c r="AG113" i="3" s="1"/>
  <c r="V69" i="3"/>
  <c r="V113" i="3" s="1"/>
  <c r="K69" i="3"/>
  <c r="K113" i="3" s="1"/>
  <c r="F21" i="3"/>
  <c r="AE69" i="3"/>
  <c r="AE113" i="3" s="1"/>
  <c r="T69" i="3"/>
  <c r="T113" i="3" s="1"/>
  <c r="AO69" i="3"/>
  <c r="AO113" i="3" s="1"/>
  <c r="AD69" i="3"/>
  <c r="AD113" i="3" s="1"/>
  <c r="S69" i="3"/>
  <c r="S113" i="3" s="1"/>
  <c r="D49" i="3"/>
  <c r="D93" i="3" s="1"/>
  <c r="AD49" i="3"/>
  <c r="AD93" i="3" s="1"/>
  <c r="AJ49" i="3"/>
  <c r="AJ93" i="3" s="1"/>
  <c r="C49" i="3"/>
  <c r="C93" i="3" s="1"/>
  <c r="F49" i="3"/>
  <c r="F93" i="3" s="1"/>
  <c r="I49" i="3"/>
  <c r="I93" i="3" s="1"/>
  <c r="A71" i="3"/>
  <c r="A93" i="3" s="1"/>
  <c r="A115" i="3" s="1"/>
  <c r="L49" i="3"/>
  <c r="L93" i="3" s="1"/>
  <c r="O49" i="3"/>
  <c r="O93" i="3" s="1"/>
  <c r="R49" i="3"/>
  <c r="R93" i="3" s="1"/>
  <c r="U49" i="3"/>
  <c r="U93" i="3" s="1"/>
  <c r="X49" i="3"/>
  <c r="X93" i="3" s="1"/>
  <c r="AN49" i="3"/>
  <c r="AN71" i="3" s="1"/>
  <c r="AN115" i="3" s="1"/>
  <c r="AA49" i="3"/>
  <c r="AA93" i="3" s="1"/>
  <c r="Z57" i="3"/>
  <c r="Z101" i="3" s="1"/>
  <c r="A79" i="3"/>
  <c r="A101" i="3" s="1"/>
  <c r="A123" i="3" s="1"/>
  <c r="F57" i="3"/>
  <c r="F101" i="3" s="1"/>
  <c r="O57" i="3"/>
  <c r="O101" i="3" s="1"/>
  <c r="X57" i="3"/>
  <c r="X101" i="3" s="1"/>
  <c r="I47" i="3"/>
  <c r="I91" i="3" s="1"/>
  <c r="O48" i="3"/>
  <c r="O92" i="3" s="1"/>
  <c r="R54" i="3"/>
  <c r="R98" i="3" s="1"/>
  <c r="G54" i="3"/>
  <c r="G98" i="3" s="1"/>
  <c r="AD54" i="3"/>
  <c r="AD76" i="3" s="1"/>
  <c r="AD120" i="3" s="1"/>
  <c r="R53" i="3"/>
  <c r="R97" i="3" s="1"/>
  <c r="AN53" i="3"/>
  <c r="AJ52" i="3"/>
  <c r="AJ96" i="3" s="1"/>
  <c r="Z51" i="3"/>
  <c r="Z95" i="3" s="1"/>
  <c r="X50" i="3"/>
  <c r="X94" i="3" s="1"/>
  <c r="AO50" i="3"/>
  <c r="AO94" i="3" s="1"/>
  <c r="AD47" i="3"/>
  <c r="AD91" i="3" s="1"/>
  <c r="H48" i="3"/>
  <c r="H92" i="3" s="1"/>
  <c r="W50" i="3"/>
  <c r="W94" i="3" s="1"/>
  <c r="AK50" i="3"/>
  <c r="AK72" i="3" s="1"/>
  <c r="AK116" i="3" s="1"/>
  <c r="H47" i="3"/>
  <c r="H91" i="3" s="1"/>
  <c r="R50" i="3"/>
  <c r="R94" i="3" s="1"/>
  <c r="Q50" i="3"/>
  <c r="Q94" i="3" s="1"/>
  <c r="M6" i="2"/>
  <c r="F47" i="3"/>
  <c r="F91" i="3" s="1"/>
  <c r="D56" i="3"/>
  <c r="D100" i="3" s="1"/>
  <c r="Y54" i="3"/>
  <c r="Y98" i="3" s="1"/>
  <c r="O54" i="3"/>
  <c r="O98" i="3" s="1"/>
  <c r="AK54" i="3"/>
  <c r="AK98" i="3" s="1"/>
  <c r="L53" i="3"/>
  <c r="L97" i="3" s="1"/>
  <c r="AH53" i="3"/>
  <c r="AH75" i="3" s="1"/>
  <c r="AH119" i="3" s="1"/>
  <c r="Z53" i="3"/>
  <c r="Z97" i="3" s="1"/>
  <c r="C52" i="3"/>
  <c r="C96" i="3" s="1"/>
  <c r="E51" i="3"/>
  <c r="E95" i="3" s="1"/>
  <c r="L50" i="3"/>
  <c r="L94" i="3" s="1"/>
  <c r="X47" i="3"/>
  <c r="X91" i="3" s="1"/>
  <c r="W47" i="3"/>
  <c r="W91" i="3" s="1"/>
  <c r="M54" i="3"/>
  <c r="M98" i="3" s="1"/>
  <c r="D54" i="3"/>
  <c r="D98" i="3" s="1"/>
  <c r="V52" i="3"/>
  <c r="V96" i="3" s="1"/>
  <c r="AD51" i="3"/>
  <c r="AD95" i="3" s="1"/>
  <c r="K50" i="3"/>
  <c r="K94" i="3" s="1"/>
  <c r="AC50" i="3"/>
  <c r="AC94" i="3" s="1"/>
  <c r="AA47" i="3"/>
  <c r="AA91" i="3" s="1"/>
  <c r="AL47" i="3"/>
  <c r="AL91" i="3" s="1"/>
  <c r="B47" i="3"/>
  <c r="B91" i="3" s="1"/>
  <c r="X54" i="3"/>
  <c r="X98" i="3" s="1"/>
  <c r="C54" i="3"/>
  <c r="C98" i="3" s="1"/>
  <c r="AJ54" i="3"/>
  <c r="AA54" i="3"/>
  <c r="AA98" i="3" s="1"/>
  <c r="U52" i="3"/>
  <c r="U96" i="3" s="1"/>
  <c r="F50" i="3"/>
  <c r="F94" i="3" s="1"/>
  <c r="E50" i="3"/>
  <c r="E94" i="3" s="1"/>
  <c r="AK47" i="3"/>
  <c r="AK91" i="3" s="1"/>
  <c r="Q47" i="3"/>
  <c r="Q91" i="3" s="1"/>
  <c r="A72" i="3"/>
  <c r="A94" i="3" s="1"/>
  <c r="A116" i="3" s="1"/>
  <c r="AK48" i="3"/>
  <c r="AK92" i="3" s="1"/>
  <c r="AG50" i="3"/>
  <c r="AG94" i="3" s="1"/>
  <c r="O47" i="3"/>
  <c r="O91" i="3" s="1"/>
  <c r="AI47" i="3"/>
  <c r="AI91" i="3" s="1"/>
  <c r="AD48" i="3"/>
  <c r="AD92" i="3" s="1"/>
  <c r="U54" i="3"/>
  <c r="U98" i="3" s="1"/>
  <c r="J54" i="3"/>
  <c r="J98" i="3" s="1"/>
  <c r="AO54" i="3"/>
  <c r="AF54" i="3"/>
  <c r="AF98" i="3" s="1"/>
  <c r="O52" i="3"/>
  <c r="O96" i="3" s="1"/>
  <c r="AN52" i="3"/>
  <c r="AB52" i="3"/>
  <c r="AB96" i="3" s="1"/>
  <c r="B50" i="3"/>
  <c r="B94" i="3" s="1"/>
  <c r="Z55" i="3"/>
  <c r="Z99" i="3" s="1"/>
  <c r="AD55" i="3"/>
  <c r="AH55" i="3"/>
  <c r="AL55" i="3"/>
  <c r="G55" i="3"/>
  <c r="G99" i="3" s="1"/>
  <c r="M55" i="3"/>
  <c r="M99" i="3" s="1"/>
  <c r="S55" i="3"/>
  <c r="S99" i="3" s="1"/>
  <c r="Y55" i="3"/>
  <c r="Y99" i="3" s="1"/>
  <c r="AB55" i="3"/>
  <c r="AB99" i="3" s="1"/>
  <c r="AF55" i="3"/>
  <c r="AJ55" i="3"/>
  <c r="AN55" i="3"/>
  <c r="D55" i="3"/>
  <c r="D99" i="3" s="1"/>
  <c r="J55" i="3"/>
  <c r="J99" i="3" s="1"/>
  <c r="P55" i="3"/>
  <c r="P99" i="3" s="1"/>
  <c r="V55" i="3"/>
  <c r="V99" i="3" s="1"/>
  <c r="AA55" i="3"/>
  <c r="AA99" i="3" s="1"/>
  <c r="C55" i="3"/>
  <c r="C99" i="3" s="1"/>
  <c r="L55" i="3"/>
  <c r="L99" i="3" s="1"/>
  <c r="U55" i="3"/>
  <c r="U99" i="3" s="1"/>
  <c r="AM55" i="3"/>
  <c r="AG55" i="3"/>
  <c r="E55" i="3"/>
  <c r="E99" i="3" s="1"/>
  <c r="N55" i="3"/>
  <c r="N99" i="3" s="1"/>
  <c r="W55" i="3"/>
  <c r="W99" i="3" s="1"/>
  <c r="F55" i="3"/>
  <c r="F99" i="3" s="1"/>
  <c r="O55" i="3"/>
  <c r="O99" i="3" s="1"/>
  <c r="X55" i="3"/>
  <c r="X99" i="3" s="1"/>
  <c r="AC55" i="3"/>
  <c r="AI55" i="3"/>
  <c r="AO55" i="3"/>
  <c r="A77" i="3"/>
  <c r="A99" i="3" s="1"/>
  <c r="A121" i="3" s="1"/>
  <c r="H55" i="3"/>
  <c r="H99" i="3" s="1"/>
  <c r="Q55" i="3"/>
  <c r="Q99" i="3" s="1"/>
  <c r="I55" i="3"/>
  <c r="I99" i="3" s="1"/>
  <c r="R55" i="3"/>
  <c r="R99" i="3" s="1"/>
  <c r="AE55" i="3"/>
  <c r="AK55" i="3"/>
  <c r="B55" i="3"/>
  <c r="B99" i="3" s="1"/>
  <c r="K55" i="3"/>
  <c r="K99" i="3" s="1"/>
  <c r="T55" i="3"/>
  <c r="T99" i="3" s="1"/>
  <c r="M30" i="3"/>
  <c r="AM47" i="3"/>
  <c r="AM91" i="3" s="1"/>
  <c r="AF47" i="3"/>
  <c r="AF91" i="3" s="1"/>
  <c r="Y47" i="3"/>
  <c r="Y91" i="3" s="1"/>
  <c r="R47" i="3"/>
  <c r="R91" i="3" s="1"/>
  <c r="K47" i="3"/>
  <c r="K91" i="3" s="1"/>
  <c r="AL48" i="3"/>
  <c r="AL92" i="3" s="1"/>
  <c r="AE48" i="3"/>
  <c r="AE92" i="3" s="1"/>
  <c r="X48" i="3"/>
  <c r="X92" i="3" s="1"/>
  <c r="Q48" i="3"/>
  <c r="Q92" i="3" s="1"/>
  <c r="I48" i="3"/>
  <c r="I92" i="3" s="1"/>
  <c r="Y57" i="3"/>
  <c r="Y101" i="3" s="1"/>
  <c r="P57" i="3"/>
  <c r="P101" i="3" s="1"/>
  <c r="G57" i="3"/>
  <c r="G101" i="3" s="1"/>
  <c r="A70" i="3"/>
  <c r="A92" i="3" s="1"/>
  <c r="A114" i="3" s="1"/>
  <c r="D48" i="3"/>
  <c r="D92" i="3" s="1"/>
  <c r="J48" i="3"/>
  <c r="J92" i="3" s="1"/>
  <c r="P48" i="3"/>
  <c r="P92" i="3" s="1"/>
  <c r="V48" i="3"/>
  <c r="V92" i="3" s="1"/>
  <c r="AB48" i="3"/>
  <c r="AB92" i="3" s="1"/>
  <c r="AH48" i="3"/>
  <c r="AH92" i="3" s="1"/>
  <c r="AN48" i="3"/>
  <c r="AN92" i="3" s="1"/>
  <c r="AN57" i="3"/>
  <c r="AH57" i="3"/>
  <c r="AB57" i="3"/>
  <c r="M27" i="3"/>
  <c r="AJ48" i="3"/>
  <c r="AJ92" i="3" s="1"/>
  <c r="AC48" i="3"/>
  <c r="AC92" i="3" s="1"/>
  <c r="G48" i="3"/>
  <c r="G92" i="3" s="1"/>
  <c r="V57" i="3"/>
  <c r="V101" i="3" s="1"/>
  <c r="M57" i="3"/>
  <c r="M101" i="3" s="1"/>
  <c r="D57" i="3"/>
  <c r="D101" i="3" s="1"/>
  <c r="AE100" i="3"/>
  <c r="D47" i="3"/>
  <c r="D91" i="3" s="1"/>
  <c r="J47" i="3"/>
  <c r="J91" i="3" s="1"/>
  <c r="P47" i="3"/>
  <c r="P91" i="3" s="1"/>
  <c r="V47" i="3"/>
  <c r="V91" i="3" s="1"/>
  <c r="AB47" i="3"/>
  <c r="AB91" i="3" s="1"/>
  <c r="AH47" i="3"/>
  <c r="AH91" i="3" s="1"/>
  <c r="AN47" i="3"/>
  <c r="AN91" i="3" s="1"/>
  <c r="N48" i="3"/>
  <c r="N92" i="3" s="1"/>
  <c r="F56" i="3"/>
  <c r="F100" i="3" s="1"/>
  <c r="L56" i="3"/>
  <c r="L100" i="3" s="1"/>
  <c r="R56" i="3"/>
  <c r="R100" i="3" s="1"/>
  <c r="X56" i="3"/>
  <c r="X100" i="3" s="1"/>
  <c r="C56" i="3"/>
  <c r="C100" i="3" s="1"/>
  <c r="I56" i="3"/>
  <c r="I100" i="3" s="1"/>
  <c r="O56" i="3"/>
  <c r="O100" i="3" s="1"/>
  <c r="U56" i="3"/>
  <c r="U100" i="3" s="1"/>
  <c r="U48" i="3"/>
  <c r="U92" i="3" s="1"/>
  <c r="AJ47" i="3"/>
  <c r="AJ91" i="3" s="1"/>
  <c r="AC47" i="3"/>
  <c r="AC91" i="3" s="1"/>
  <c r="U47" i="3"/>
  <c r="U91" i="3" s="1"/>
  <c r="N47" i="3"/>
  <c r="N91" i="3" s="1"/>
  <c r="G47" i="3"/>
  <c r="G91" i="3" s="1"/>
  <c r="AI48" i="3"/>
  <c r="AI92" i="3" s="1"/>
  <c r="AA48" i="3"/>
  <c r="AA92" i="3" s="1"/>
  <c r="T48" i="3"/>
  <c r="T92" i="3" s="1"/>
  <c r="M48" i="3"/>
  <c r="M92" i="3" s="1"/>
  <c r="F48" i="3"/>
  <c r="F92" i="3" s="1"/>
  <c r="U57" i="3"/>
  <c r="U101" i="3" s="1"/>
  <c r="L57" i="3"/>
  <c r="L101" i="3" s="1"/>
  <c r="C57" i="3"/>
  <c r="C101" i="3" s="1"/>
  <c r="AL57" i="3"/>
  <c r="AF57" i="3"/>
  <c r="AC57" i="3"/>
  <c r="AG57" i="3"/>
  <c r="AK57" i="3"/>
  <c r="AO57" i="3"/>
  <c r="E57" i="3"/>
  <c r="E101" i="3" s="1"/>
  <c r="K57" i="3"/>
  <c r="K101" i="3" s="1"/>
  <c r="Q57" i="3"/>
  <c r="Q101" i="3" s="1"/>
  <c r="W57" i="3"/>
  <c r="W101" i="3" s="1"/>
  <c r="B57" i="3"/>
  <c r="B101" i="3" s="1"/>
  <c r="AA57" i="3"/>
  <c r="AE57" i="3"/>
  <c r="AI57" i="3"/>
  <c r="AM57" i="3"/>
  <c r="H57" i="3"/>
  <c r="H101" i="3" s="1"/>
  <c r="N57" i="3"/>
  <c r="N101" i="3" s="1"/>
  <c r="T57" i="3"/>
  <c r="T101" i="3" s="1"/>
  <c r="AO48" i="3"/>
  <c r="AO92" i="3" s="1"/>
  <c r="AG48" i="3"/>
  <c r="AG92" i="3" s="1"/>
  <c r="Z48" i="3"/>
  <c r="Z92" i="3" s="1"/>
  <c r="S48" i="3"/>
  <c r="S92" i="3" s="1"/>
  <c r="L48" i="3"/>
  <c r="L92" i="3" s="1"/>
  <c r="E48" i="3"/>
  <c r="E92" i="3" s="1"/>
  <c r="S57" i="3"/>
  <c r="S101" i="3" s="1"/>
  <c r="J57" i="3"/>
  <c r="J101" i="3" s="1"/>
  <c r="A69" i="3"/>
  <c r="A91" i="3" s="1"/>
  <c r="A113" i="3" s="1"/>
  <c r="AO47" i="3"/>
  <c r="AO91" i="3" s="1"/>
  <c r="AG47" i="3"/>
  <c r="AG91" i="3" s="1"/>
  <c r="Z47" i="3"/>
  <c r="Z91" i="3" s="1"/>
  <c r="S47" i="3"/>
  <c r="S91" i="3" s="1"/>
  <c r="L47" i="3"/>
  <c r="L91" i="3" s="1"/>
  <c r="E47" i="3"/>
  <c r="E91" i="3" s="1"/>
  <c r="AM48" i="3"/>
  <c r="AM92" i="3" s="1"/>
  <c r="AF48" i="3"/>
  <c r="AF92" i="3" s="1"/>
  <c r="Y48" i="3"/>
  <c r="Y92" i="3" s="1"/>
  <c r="R48" i="3"/>
  <c r="R92" i="3" s="1"/>
  <c r="K48" i="3"/>
  <c r="K92" i="3" s="1"/>
  <c r="C48" i="3"/>
  <c r="C92" i="3" s="1"/>
  <c r="R57" i="3"/>
  <c r="R101" i="3" s="1"/>
  <c r="I57" i="3"/>
  <c r="I101" i="3" s="1"/>
  <c r="AJ57" i="3"/>
  <c r="AD57" i="3"/>
  <c r="AN56" i="3"/>
  <c r="AH56" i="3"/>
  <c r="AB56" i="3"/>
  <c r="G53" i="3"/>
  <c r="G97" i="3" s="1"/>
  <c r="M53" i="3"/>
  <c r="M97" i="3" s="1"/>
  <c r="S53" i="3"/>
  <c r="S97" i="3" s="1"/>
  <c r="Y53" i="3"/>
  <c r="Y97" i="3" s="1"/>
  <c r="D53" i="3"/>
  <c r="D97" i="3" s="1"/>
  <c r="J53" i="3"/>
  <c r="J97" i="3" s="1"/>
  <c r="P53" i="3"/>
  <c r="P97" i="3" s="1"/>
  <c r="V53" i="3"/>
  <c r="V97" i="3" s="1"/>
  <c r="AC53" i="3"/>
  <c r="AC97" i="3" s="1"/>
  <c r="AG53" i="3"/>
  <c r="AK53" i="3"/>
  <c r="AO53" i="3"/>
  <c r="E53" i="3"/>
  <c r="E97" i="3" s="1"/>
  <c r="K53" i="3"/>
  <c r="K97" i="3" s="1"/>
  <c r="Q53" i="3"/>
  <c r="Q97" i="3" s="1"/>
  <c r="W53" i="3"/>
  <c r="W97" i="3" s="1"/>
  <c r="Q51" i="3"/>
  <c r="Q95" i="3" s="1"/>
  <c r="AH51" i="3"/>
  <c r="AB51" i="3"/>
  <c r="AB95" i="3" s="1"/>
  <c r="AD53" i="3"/>
  <c r="AD97" i="3" s="1"/>
  <c r="C51" i="3"/>
  <c r="C95" i="3" s="1"/>
  <c r="I51" i="3"/>
  <c r="I95" i="3" s="1"/>
  <c r="O51" i="3"/>
  <c r="O95" i="3" s="1"/>
  <c r="U51" i="3"/>
  <c r="U95" i="3" s="1"/>
  <c r="F51" i="3"/>
  <c r="F95" i="3" s="1"/>
  <c r="L51" i="3"/>
  <c r="L95" i="3" s="1"/>
  <c r="R51" i="3"/>
  <c r="R95" i="3" s="1"/>
  <c r="X51" i="3"/>
  <c r="X95" i="3" s="1"/>
  <c r="G51" i="3"/>
  <c r="G95" i="3" s="1"/>
  <c r="M51" i="3"/>
  <c r="M95" i="3" s="1"/>
  <c r="S51" i="3"/>
  <c r="S95" i="3" s="1"/>
  <c r="Y51" i="3"/>
  <c r="Y95" i="3" s="1"/>
  <c r="B51" i="3"/>
  <c r="B95" i="3" s="1"/>
  <c r="AA51" i="3"/>
  <c r="AA95" i="3" s="1"/>
  <c r="AE51" i="3"/>
  <c r="AE95" i="3" s="1"/>
  <c r="AI51" i="3"/>
  <c r="AM51" i="3"/>
  <c r="H51" i="3"/>
  <c r="H95" i="3" s="1"/>
  <c r="N51" i="3"/>
  <c r="N95" i="3" s="1"/>
  <c r="T51" i="3"/>
  <c r="T95" i="3" s="1"/>
  <c r="T54" i="3"/>
  <c r="T98" i="3" s="1"/>
  <c r="N54" i="3"/>
  <c r="N98" i="3" s="1"/>
  <c r="H54" i="3"/>
  <c r="H98" i="3" s="1"/>
  <c r="B54" i="3"/>
  <c r="B98" i="3" s="1"/>
  <c r="AL54" i="3"/>
  <c r="AG54" i="3"/>
  <c r="C53" i="3"/>
  <c r="C97" i="3" s="1"/>
  <c r="W51" i="3"/>
  <c r="W95" i="3" s="1"/>
  <c r="J51" i="3"/>
  <c r="J95" i="3" s="1"/>
  <c r="AN51" i="3"/>
  <c r="AB54" i="3"/>
  <c r="AB98" i="3" s="1"/>
  <c r="AL53" i="3"/>
  <c r="AF53" i="3"/>
  <c r="AA52" i="3"/>
  <c r="AA96" i="3" s="1"/>
  <c r="AE52" i="3"/>
  <c r="AI52" i="3"/>
  <c r="AM52" i="3"/>
  <c r="H52" i="3"/>
  <c r="H96" i="3" s="1"/>
  <c r="N52" i="3"/>
  <c r="N96" i="3" s="1"/>
  <c r="T52" i="3"/>
  <c r="T96" i="3" s="1"/>
  <c r="AC52" i="3"/>
  <c r="AC96" i="3" s="1"/>
  <c r="AG52" i="3"/>
  <c r="AK52" i="3"/>
  <c r="AO52" i="3"/>
  <c r="E52" i="3"/>
  <c r="E96" i="3" s="1"/>
  <c r="K52" i="3"/>
  <c r="K96" i="3" s="1"/>
  <c r="Q52" i="3"/>
  <c r="Q96" i="3" s="1"/>
  <c r="W52" i="3"/>
  <c r="W96" i="3" s="1"/>
  <c r="F52" i="3"/>
  <c r="F96" i="3" s="1"/>
  <c r="L52" i="3"/>
  <c r="L96" i="3" s="1"/>
  <c r="R52" i="3"/>
  <c r="R96" i="3" s="1"/>
  <c r="X52" i="3"/>
  <c r="X96" i="3" s="1"/>
  <c r="G52" i="3"/>
  <c r="G96" i="3" s="1"/>
  <c r="M52" i="3"/>
  <c r="M96" i="3" s="1"/>
  <c r="S52" i="3"/>
  <c r="S96" i="3" s="1"/>
  <c r="Y52" i="3"/>
  <c r="Y96" i="3" s="1"/>
  <c r="V51" i="3"/>
  <c r="V95" i="3" s="1"/>
  <c r="D51" i="3"/>
  <c r="D95" i="3" s="1"/>
  <c r="AJ51" i="3"/>
  <c r="AN50" i="3"/>
  <c r="AJ50" i="3"/>
  <c r="AF50" i="3"/>
  <c r="AF94" i="3" s="1"/>
  <c r="AB50" i="3"/>
  <c r="AB94" i="3" s="1"/>
  <c r="AF49" i="3"/>
  <c r="AF93" i="3" s="1"/>
  <c r="Z49" i="3"/>
  <c r="Z93" i="3" s="1"/>
  <c r="T49" i="3"/>
  <c r="T93" i="3" s="1"/>
  <c r="N49" i="3"/>
  <c r="N93" i="3" s="1"/>
  <c r="H49" i="3"/>
  <c r="H93" i="3" s="1"/>
  <c r="AM49" i="3"/>
  <c r="AM93" i="3" s="1"/>
  <c r="AI49" i="3"/>
  <c r="AI93" i="3" s="1"/>
  <c r="U50" i="3"/>
  <c r="U94" i="3" s="1"/>
  <c r="O50" i="3"/>
  <c r="O94" i="3" s="1"/>
  <c r="I50" i="3"/>
  <c r="I94" i="3" s="1"/>
  <c r="C50" i="3"/>
  <c r="C94" i="3" s="1"/>
  <c r="B49" i="3"/>
  <c r="B93" i="3" s="1"/>
  <c r="AE49" i="3"/>
  <c r="AE93" i="3" s="1"/>
  <c r="Y49" i="3"/>
  <c r="Y93" i="3" s="1"/>
  <c r="S49" i="3"/>
  <c r="S93" i="3" s="1"/>
  <c r="M49" i="3"/>
  <c r="M93" i="3" s="1"/>
  <c r="G49" i="3"/>
  <c r="G93" i="3" s="1"/>
  <c r="T50" i="3"/>
  <c r="T94" i="3" s="1"/>
  <c r="N50" i="3"/>
  <c r="N94" i="3" s="1"/>
  <c r="H50" i="3"/>
  <c r="H94" i="3" s="1"/>
  <c r="AM50" i="3"/>
  <c r="AI50" i="3"/>
  <c r="AI94" i="3" s="1"/>
  <c r="AE50" i="3"/>
  <c r="AE94" i="3" s="1"/>
  <c r="AA50" i="3"/>
  <c r="AA94" i="3" s="1"/>
  <c r="AL49" i="3"/>
  <c r="AL93" i="3" s="1"/>
  <c r="AH49" i="3"/>
  <c r="AH93" i="3" s="1"/>
  <c r="Y50" i="3"/>
  <c r="Y94" i="3" s="1"/>
  <c r="S50" i="3"/>
  <c r="S94" i="3" s="1"/>
  <c r="M50" i="3"/>
  <c r="M94" i="3" s="1"/>
  <c r="G50" i="3"/>
  <c r="G94" i="3" s="1"/>
  <c r="AL50" i="3"/>
  <c r="AH50" i="3"/>
  <c r="AH94" i="3" s="1"/>
  <c r="AD50" i="3"/>
  <c r="AD94" i="3" s="1"/>
  <c r="Z50" i="3"/>
  <c r="Z94" i="3" s="1"/>
  <c r="AC49" i="3"/>
  <c r="AC93" i="3" s="1"/>
  <c r="W49" i="3"/>
  <c r="W93" i="3" s="1"/>
  <c r="Q49" i="3"/>
  <c r="Q93" i="3" s="1"/>
  <c r="K49" i="3"/>
  <c r="K93" i="3" s="1"/>
  <c r="E49" i="3"/>
  <c r="E93" i="3" s="1"/>
  <c r="AO49" i="3"/>
  <c r="AK49" i="3"/>
  <c r="AK93" i="3" s="1"/>
  <c r="AG49" i="3"/>
  <c r="AG93" i="3" s="1"/>
  <c r="AB49" i="3"/>
  <c r="AB93" i="3" s="1"/>
  <c r="V49" i="3"/>
  <c r="V93" i="3" s="1"/>
  <c r="P49" i="3"/>
  <c r="P93" i="3" s="1"/>
  <c r="J49" i="3"/>
  <c r="J93" i="3" s="1"/>
  <c r="V50" i="3"/>
  <c r="V94" i="3" s="1"/>
  <c r="P50" i="3"/>
  <c r="P94" i="3" s="1"/>
  <c r="J50" i="3"/>
  <c r="J94" i="3" s="1"/>
  <c r="J38" i="2"/>
  <c r="AK70" i="3" l="1"/>
  <c r="AK114" i="3" s="1"/>
  <c r="AL70" i="3"/>
  <c r="AL114" i="3" s="1"/>
  <c r="V78" i="3"/>
  <c r="V122" i="3" s="1"/>
  <c r="AM70" i="3"/>
  <c r="AM114" i="3" s="1"/>
  <c r="AN70" i="3"/>
  <c r="AN114" i="3" s="1"/>
  <c r="Y78" i="3"/>
  <c r="Y122" i="3" s="1"/>
  <c r="AA75" i="3"/>
  <c r="AA119" i="3" s="1"/>
  <c r="X79" i="3"/>
  <c r="X123" i="3" s="1"/>
  <c r="AD74" i="3"/>
  <c r="AD118" i="3" s="1"/>
  <c r="S79" i="3"/>
  <c r="S123" i="3" s="1"/>
  <c r="T79" i="3"/>
  <c r="T123" i="3" s="1"/>
  <c r="W79" i="3"/>
  <c r="W123" i="3" s="1"/>
  <c r="U79" i="3"/>
  <c r="U123" i="3" s="1"/>
  <c r="V79" i="3"/>
  <c r="V123" i="3" s="1"/>
  <c r="U78" i="3"/>
  <c r="U122" i="3" s="1"/>
  <c r="X78" i="3"/>
  <c r="X122" i="3" s="1"/>
  <c r="W78" i="3"/>
  <c r="W122" i="3" s="1"/>
  <c r="T78" i="3"/>
  <c r="T122" i="3" s="1"/>
  <c r="V77" i="3"/>
  <c r="V121" i="3" s="1"/>
  <c r="X77" i="3"/>
  <c r="X121" i="3" s="1"/>
  <c r="T77" i="3"/>
  <c r="T121" i="3" s="1"/>
  <c r="U77" i="3"/>
  <c r="U121" i="3" s="1"/>
  <c r="Y77" i="3"/>
  <c r="Y121" i="3" s="1"/>
  <c r="Z77" i="3"/>
  <c r="Z121" i="3" s="1"/>
  <c r="W77" i="3"/>
  <c r="W121" i="3" s="1"/>
  <c r="Z76" i="3"/>
  <c r="Z120" i="3" s="1"/>
  <c r="U76" i="3"/>
  <c r="U120" i="3" s="1"/>
  <c r="AA76" i="3"/>
  <c r="AA120" i="3" s="1"/>
  <c r="V76" i="3"/>
  <c r="V120" i="3" s="1"/>
  <c r="W76" i="3"/>
  <c r="W120" i="3" s="1"/>
  <c r="X76" i="3"/>
  <c r="X120" i="3" s="1"/>
  <c r="Y76" i="3"/>
  <c r="Y120" i="3" s="1"/>
  <c r="V75" i="3"/>
  <c r="V119" i="3" s="1"/>
  <c r="W75" i="3"/>
  <c r="W119" i="3" s="1"/>
  <c r="AB75" i="3"/>
  <c r="AB119" i="3" s="1"/>
  <c r="X75" i="3"/>
  <c r="X119" i="3" s="1"/>
  <c r="Y75" i="3"/>
  <c r="Y119" i="3" s="1"/>
  <c r="Z75" i="3"/>
  <c r="Z119" i="3" s="1"/>
  <c r="W74" i="3"/>
  <c r="W118" i="3" s="1"/>
  <c r="AC74" i="3"/>
  <c r="AC118" i="3" s="1"/>
  <c r="X74" i="3"/>
  <c r="X118" i="3" s="1"/>
  <c r="AB74" i="3"/>
  <c r="AB118" i="3" s="1"/>
  <c r="Y74" i="3"/>
  <c r="Y118" i="3" s="1"/>
  <c r="AA74" i="3"/>
  <c r="AA118" i="3" s="1"/>
  <c r="AC73" i="3"/>
  <c r="AC117" i="3" s="1"/>
  <c r="AF73" i="3"/>
  <c r="AF117" i="3" s="1"/>
  <c r="AB73" i="3"/>
  <c r="AB117" i="3" s="1"/>
  <c r="AD73" i="3"/>
  <c r="AD117" i="3" s="1"/>
  <c r="AE73" i="3"/>
  <c r="AE117" i="3" s="1"/>
  <c r="Z73" i="3"/>
  <c r="Z117" i="3" s="1"/>
  <c r="Y73" i="3"/>
  <c r="Y117" i="3" s="1"/>
  <c r="AA73" i="3"/>
  <c r="AA117" i="3" s="1"/>
  <c r="AD72" i="3"/>
  <c r="AD116" i="3" s="1"/>
  <c r="AF72" i="3"/>
  <c r="AF116" i="3" s="1"/>
  <c r="AA72" i="3"/>
  <c r="AA116" i="3" s="1"/>
  <c r="AE72" i="3"/>
  <c r="AE116" i="3" s="1"/>
  <c r="AC72" i="3"/>
  <c r="AC116" i="3" s="1"/>
  <c r="AH72" i="3"/>
  <c r="AH116" i="3" s="1"/>
  <c r="AB72" i="3"/>
  <c r="AB116" i="3" s="1"/>
  <c r="AG72" i="3"/>
  <c r="AG116" i="3" s="1"/>
  <c r="AG71" i="3"/>
  <c r="AG115" i="3" s="1"/>
  <c r="AI71" i="3"/>
  <c r="AI115" i="3" s="1"/>
  <c r="AD71" i="3"/>
  <c r="AD115" i="3" s="1"/>
  <c r="AH71" i="3"/>
  <c r="AH115" i="3" s="1"/>
  <c r="AL71" i="3"/>
  <c r="AL115" i="3" s="1"/>
  <c r="AJ71" i="3"/>
  <c r="AJ115" i="3" s="1"/>
  <c r="AK71" i="3"/>
  <c r="AK115" i="3" s="1"/>
  <c r="AE71" i="3"/>
  <c r="AE115" i="3" s="1"/>
  <c r="AF71" i="3"/>
  <c r="AF115" i="3" s="1"/>
  <c r="AO70" i="3"/>
  <c r="AO114" i="3" s="1"/>
  <c r="AL74" i="3"/>
  <c r="AL118" i="3" s="1"/>
  <c r="AH74" i="3"/>
  <c r="AH118" i="3" s="1"/>
  <c r="Q13" i="3"/>
  <c r="Z78" i="3"/>
  <c r="Z122" i="3" s="1"/>
  <c r="AI97" i="3"/>
  <c r="G31" i="3"/>
  <c r="W31" i="3" s="1"/>
  <c r="M9" i="2"/>
  <c r="M12" i="2" s="1"/>
  <c r="F22" i="2" s="1"/>
  <c r="M5" i="2"/>
  <c r="Q14" i="3" s="1"/>
  <c r="G24" i="3"/>
  <c r="Z24" i="3" s="1"/>
  <c r="J32" i="2"/>
  <c r="G32" i="2"/>
  <c r="AL100" i="3"/>
  <c r="AK100" i="3"/>
  <c r="AJ78" i="3"/>
  <c r="AJ122" i="3" s="1"/>
  <c r="AJ74" i="3"/>
  <c r="AJ118" i="3" s="1"/>
  <c r="AN93" i="3"/>
  <c r="AA78" i="3"/>
  <c r="AA122" i="3" s="1"/>
  <c r="AD100" i="3"/>
  <c r="AO100" i="3"/>
  <c r="AM100" i="3"/>
  <c r="AD98" i="3"/>
  <c r="AK76" i="3"/>
  <c r="AK120" i="3" s="1"/>
  <c r="AJ75" i="3"/>
  <c r="AJ119" i="3" s="1"/>
  <c r="AC75" i="3"/>
  <c r="AC119" i="3" s="1"/>
  <c r="AE97" i="3"/>
  <c r="G25" i="3"/>
  <c r="AI72" i="3"/>
  <c r="AI116" i="3" s="1"/>
  <c r="G23" i="3"/>
  <c r="W23" i="3" s="1"/>
  <c r="G22" i="3"/>
  <c r="W22" i="3" s="1"/>
  <c r="Q21" i="3"/>
  <c r="AP113" i="3"/>
  <c r="Y79" i="3"/>
  <c r="Y123" i="3" s="1"/>
  <c r="Z79" i="3"/>
  <c r="Z123" i="3" s="1"/>
  <c r="R30" i="3"/>
  <c r="H30" i="3" s="1"/>
  <c r="I30" i="3" s="1"/>
  <c r="G30" i="3"/>
  <c r="M8" i="3"/>
  <c r="N2" i="3" s="1"/>
  <c r="N3" i="3" s="1"/>
  <c r="AG78" i="3"/>
  <c r="AG122" i="3" s="1"/>
  <c r="AC100" i="3"/>
  <c r="AI78" i="3"/>
  <c r="AI122" i="3" s="1"/>
  <c r="AI100" i="3"/>
  <c r="AF78" i="3"/>
  <c r="AF122" i="3" s="1"/>
  <c r="AF100" i="3"/>
  <c r="AA77" i="3"/>
  <c r="AA121" i="3" s="1"/>
  <c r="AB77" i="3"/>
  <c r="AB121" i="3" s="1"/>
  <c r="G29" i="3"/>
  <c r="R29" i="3"/>
  <c r="H29" i="3" s="1"/>
  <c r="I29" i="3" s="1"/>
  <c r="AE76" i="3"/>
  <c r="AE120" i="3" s="1"/>
  <c r="G28" i="3"/>
  <c r="R28" i="3"/>
  <c r="H28" i="3" s="1"/>
  <c r="I28" i="3" s="1"/>
  <c r="AB76" i="3"/>
  <c r="AB120" i="3" s="1"/>
  <c r="AC76" i="3"/>
  <c r="AC120" i="3" s="1"/>
  <c r="AM76" i="3"/>
  <c r="AM120" i="3" s="1"/>
  <c r="AF76" i="3"/>
  <c r="AF120" i="3" s="1"/>
  <c r="AN76" i="3"/>
  <c r="AN120" i="3" s="1"/>
  <c r="AH76" i="3"/>
  <c r="AH120" i="3" s="1"/>
  <c r="AH98" i="3"/>
  <c r="AI98" i="3"/>
  <c r="AI76" i="3"/>
  <c r="AI120" i="3" s="1"/>
  <c r="AM97" i="3"/>
  <c r="AD75" i="3"/>
  <c r="AD119" i="3" s="1"/>
  <c r="R27" i="3"/>
  <c r="H27" i="3" s="1"/>
  <c r="I27" i="3" s="1"/>
  <c r="G27" i="3"/>
  <c r="AE96" i="3"/>
  <c r="AE74" i="3"/>
  <c r="AE118" i="3" s="1"/>
  <c r="AF96" i="3"/>
  <c r="AF74" i="3"/>
  <c r="AF118" i="3" s="1"/>
  <c r="G26" i="3"/>
  <c r="R26" i="3"/>
  <c r="H26" i="3" s="1"/>
  <c r="I26" i="3" s="1"/>
  <c r="AL73" i="3"/>
  <c r="AL117" i="3" s="1"/>
  <c r="AO95" i="3"/>
  <c r="AG73" i="3"/>
  <c r="AG117" i="3" s="1"/>
  <c r="AK73" i="3"/>
  <c r="AK117" i="3" s="1"/>
  <c r="AK95" i="3"/>
  <c r="AJ94" i="3"/>
  <c r="AJ72" i="3"/>
  <c r="AJ116" i="3" s="1"/>
  <c r="AO72" i="3"/>
  <c r="AO116" i="3" s="1"/>
  <c r="AM71" i="3"/>
  <c r="AM115" i="3" s="1"/>
  <c r="O22" i="3"/>
  <c r="R21" i="3"/>
  <c r="G21" i="3"/>
  <c r="AO76" i="3"/>
  <c r="AO120" i="3" s="1"/>
  <c r="AO98" i="3"/>
  <c r="AK94" i="3"/>
  <c r="O21" i="3"/>
  <c r="AJ98" i="3"/>
  <c r="AJ76" i="3"/>
  <c r="AJ120" i="3" s="1"/>
  <c r="Q15" i="3"/>
  <c r="M10" i="2"/>
  <c r="AH97" i="3"/>
  <c r="AN75" i="3"/>
  <c r="AN119" i="3" s="1"/>
  <c r="AN97" i="3"/>
  <c r="AN96" i="3"/>
  <c r="AN74" i="3"/>
  <c r="AN118" i="3" s="1"/>
  <c r="AK96" i="3"/>
  <c r="AK74" i="3"/>
  <c r="AK118" i="3" s="1"/>
  <c r="AM72" i="3"/>
  <c r="AM116" i="3" s="1"/>
  <c r="AM94" i="3"/>
  <c r="AN72" i="3"/>
  <c r="AN116" i="3" s="1"/>
  <c r="AN94" i="3"/>
  <c r="AG96" i="3"/>
  <c r="AG74" i="3"/>
  <c r="AG118" i="3" s="1"/>
  <c r="AL75" i="3"/>
  <c r="AL119" i="3" s="1"/>
  <c r="AL97" i="3"/>
  <c r="AO75" i="3"/>
  <c r="AO119" i="3" s="1"/>
  <c r="AO97" i="3"/>
  <c r="AO101" i="3"/>
  <c r="AO79" i="3"/>
  <c r="AO123" i="3" s="1"/>
  <c r="AN101" i="3"/>
  <c r="AN79" i="3"/>
  <c r="AN123" i="3" s="1"/>
  <c r="AK99" i="3"/>
  <c r="AK77" i="3"/>
  <c r="AK121" i="3" s="1"/>
  <c r="AD77" i="3"/>
  <c r="AD121" i="3" s="1"/>
  <c r="AD99" i="3"/>
  <c r="AH101" i="3"/>
  <c r="AH79" i="3"/>
  <c r="AH123" i="3" s="1"/>
  <c r="AL72" i="3"/>
  <c r="AL116" i="3" s="1"/>
  <c r="AL94" i="3"/>
  <c r="AJ95" i="3"/>
  <c r="AJ73" i="3"/>
  <c r="AJ117" i="3" s="1"/>
  <c r="AK97" i="3"/>
  <c r="AK75" i="3"/>
  <c r="AK119" i="3" s="1"/>
  <c r="AK101" i="3"/>
  <c r="AK79" i="3"/>
  <c r="AK123" i="3" s="1"/>
  <c r="AE99" i="3"/>
  <c r="AE77" i="3"/>
  <c r="AE121" i="3" s="1"/>
  <c r="AG97" i="3"/>
  <c r="AG75" i="3"/>
  <c r="AG119" i="3" s="1"/>
  <c r="AG101" i="3"/>
  <c r="AG79" i="3"/>
  <c r="AG123" i="3" s="1"/>
  <c r="AN77" i="3"/>
  <c r="AN121" i="3" s="1"/>
  <c r="AN99" i="3"/>
  <c r="AH100" i="3"/>
  <c r="AH78" i="3"/>
  <c r="AH122" i="3" s="1"/>
  <c r="AC101" i="3"/>
  <c r="AC79" i="3"/>
  <c r="AC123" i="3" s="1"/>
  <c r="AJ99" i="3"/>
  <c r="AJ77" i="3"/>
  <c r="AJ121" i="3" s="1"/>
  <c r="AM79" i="3"/>
  <c r="AM123" i="3" s="1"/>
  <c r="AM101" i="3"/>
  <c r="AO71" i="3"/>
  <c r="AO115" i="3" s="1"/>
  <c r="AO93" i="3"/>
  <c r="AN100" i="3"/>
  <c r="AN78" i="3"/>
  <c r="AN122" i="3" s="1"/>
  <c r="AI101" i="3"/>
  <c r="AI79" i="3"/>
  <c r="AI123" i="3" s="1"/>
  <c r="AG77" i="3"/>
  <c r="AG121" i="3" s="1"/>
  <c r="AG99" i="3"/>
  <c r="AF77" i="3"/>
  <c r="AF121" i="3" s="1"/>
  <c r="AF99" i="3"/>
  <c r="AB100" i="3"/>
  <c r="AB78" i="3"/>
  <c r="AB122" i="3" s="1"/>
  <c r="AN95" i="3"/>
  <c r="AN73" i="3"/>
  <c r="AN117" i="3" s="1"/>
  <c r="AI96" i="3"/>
  <c r="AI74" i="3"/>
  <c r="AI118" i="3" s="1"/>
  <c r="AH95" i="3"/>
  <c r="AH73" i="3"/>
  <c r="AH117" i="3" s="1"/>
  <c r="AD79" i="3"/>
  <c r="AD123" i="3" s="1"/>
  <c r="AD101" i="3"/>
  <c r="AA79" i="3"/>
  <c r="AA123" i="3" s="1"/>
  <c r="AA101" i="3"/>
  <c r="AM74" i="3"/>
  <c r="AM118" i="3" s="1"/>
  <c r="AM96" i="3"/>
  <c r="AE101" i="3"/>
  <c r="AE79" i="3"/>
  <c r="AE123" i="3" s="1"/>
  <c r="AM77" i="3"/>
  <c r="AM121" i="3" s="1"/>
  <c r="AM99" i="3"/>
  <c r="AG76" i="3"/>
  <c r="AG120" i="3" s="1"/>
  <c r="AG98" i="3"/>
  <c r="AM73" i="3"/>
  <c r="AM117" i="3" s="1"/>
  <c r="AM95" i="3"/>
  <c r="AJ79" i="3"/>
  <c r="AJ123" i="3" s="1"/>
  <c r="AJ101" i="3"/>
  <c r="AF101" i="3"/>
  <c r="AF79" i="3"/>
  <c r="AF123" i="3" s="1"/>
  <c r="AO99" i="3"/>
  <c r="AO77" i="3"/>
  <c r="AO121" i="3" s="1"/>
  <c r="AI73" i="3"/>
  <c r="AI117" i="3" s="1"/>
  <c r="AI95" i="3"/>
  <c r="AL101" i="3"/>
  <c r="AL79" i="3"/>
  <c r="AL123" i="3" s="1"/>
  <c r="AI99" i="3"/>
  <c r="AI77" i="3"/>
  <c r="AI121" i="3" s="1"/>
  <c r="AL98" i="3"/>
  <c r="AL76" i="3"/>
  <c r="AL120" i="3" s="1"/>
  <c r="AC99" i="3"/>
  <c r="AC77" i="3"/>
  <c r="AC121" i="3" s="1"/>
  <c r="AO74" i="3"/>
  <c r="AO118" i="3" s="1"/>
  <c r="AO96" i="3"/>
  <c r="AB101" i="3"/>
  <c r="AB79" i="3"/>
  <c r="AB123" i="3" s="1"/>
  <c r="AL77" i="3"/>
  <c r="AL121" i="3" s="1"/>
  <c r="AL99" i="3"/>
  <c r="AF75" i="3"/>
  <c r="AF119" i="3" s="1"/>
  <c r="AF97" i="3"/>
  <c r="AH77" i="3"/>
  <c r="AH121" i="3" s="1"/>
  <c r="AH99" i="3"/>
  <c r="AP114" i="3" l="1"/>
  <c r="Q22" i="3"/>
  <c r="M13" i="2"/>
  <c r="F23" i="2" s="1"/>
  <c r="Z31" i="3"/>
  <c r="Z23" i="3"/>
  <c r="W24" i="3"/>
  <c r="O23" i="3"/>
  <c r="Q23" i="3" s="1"/>
  <c r="Z22" i="3"/>
  <c r="Z25" i="3"/>
  <c r="W25" i="3"/>
  <c r="C3" i="2"/>
  <c r="C6" i="2" s="1"/>
  <c r="M11" i="2"/>
  <c r="Q16" i="3" s="1"/>
  <c r="I11" i="3" s="1"/>
  <c r="Z30" i="3"/>
  <c r="W30" i="3"/>
  <c r="Z29" i="3"/>
  <c r="W29" i="3"/>
  <c r="Z28" i="3"/>
  <c r="W28" i="3"/>
  <c r="Z27" i="3"/>
  <c r="W27" i="3"/>
  <c r="W26" i="3"/>
  <c r="Z26" i="3"/>
  <c r="O26" i="3"/>
  <c r="Q26" i="3" s="1"/>
  <c r="O24" i="3"/>
  <c r="Q24" i="3" s="1"/>
  <c r="Z21" i="3"/>
  <c r="W21" i="3"/>
  <c r="O27" i="3"/>
  <c r="Q27" i="3" s="1"/>
  <c r="O31" i="3"/>
  <c r="Q31" i="3" s="1"/>
  <c r="O28" i="3"/>
  <c r="Q28" i="3" s="1"/>
  <c r="O25" i="3"/>
  <c r="Q25" i="3" s="1"/>
  <c r="O30" i="3"/>
  <c r="Q30" i="3" s="1"/>
  <c r="AP117" i="3"/>
  <c r="AP121" i="3"/>
  <c r="O29" i="3"/>
  <c r="Q29" i="3" s="1"/>
  <c r="AP119" i="3"/>
  <c r="AP123" i="3"/>
  <c r="AP120" i="3"/>
  <c r="AP115" i="3"/>
  <c r="AP116" i="3"/>
  <c r="AP122" i="3"/>
  <c r="AP118" i="3"/>
  <c r="M14" i="2" l="1"/>
  <c r="Q11" i="3" s="1"/>
  <c r="C7" i="2"/>
  <c r="C14" i="2" s="1"/>
  <c r="C32" i="2"/>
  <c r="C34" i="2" s="1"/>
  <c r="C33" i="2"/>
  <c r="C35" i="2" s="1"/>
  <c r="M10" i="3"/>
  <c r="C36" i="2" l="1"/>
  <c r="C37" i="2" s="1"/>
  <c r="J31" i="2" s="1"/>
  <c r="M15" i="2"/>
  <c r="Q12" i="3" s="1"/>
  <c r="C8" i="2"/>
  <c r="M11" i="3"/>
  <c r="C13" i="2"/>
  <c r="M15" i="3" s="1"/>
  <c r="J34" i="2"/>
  <c r="J41" i="2" s="1"/>
  <c r="J35" i="2"/>
  <c r="M16" i="3"/>
  <c r="G35" i="2"/>
  <c r="G34" i="2"/>
  <c r="G41" i="2" s="1"/>
  <c r="G43" i="2" s="1"/>
  <c r="G31" i="2" l="1"/>
  <c r="C15" i="2"/>
  <c r="X28" i="3" l="1"/>
  <c r="Y28" i="3" s="1"/>
  <c r="S30" i="3"/>
  <c r="T30" i="3" s="1"/>
  <c r="S27" i="3"/>
  <c r="T27" i="3" s="1"/>
  <c r="X23" i="3"/>
  <c r="Y23" i="3" s="1"/>
  <c r="X30" i="3"/>
  <c r="Y30" i="3" s="1"/>
  <c r="X25" i="3"/>
  <c r="Y25" i="3" s="1"/>
  <c r="S29" i="3"/>
  <c r="T29" i="3" s="1"/>
  <c r="S26" i="3"/>
  <c r="T26" i="3" s="1"/>
  <c r="X27" i="3"/>
  <c r="Y27" i="3" s="1"/>
  <c r="X22" i="3"/>
  <c r="Y22" i="3" s="1"/>
  <c r="X29" i="3"/>
  <c r="Y29" i="3" s="1"/>
  <c r="X21" i="3"/>
  <c r="Y21" i="3" s="1"/>
  <c r="X24" i="3"/>
  <c r="Y24" i="3" s="1"/>
  <c r="S25" i="3"/>
  <c r="T25" i="3" s="1"/>
  <c r="S22" i="3"/>
  <c r="T22" i="3" s="1"/>
  <c r="X31" i="3"/>
  <c r="Y31" i="3" s="1"/>
  <c r="S24" i="3"/>
  <c r="T24" i="3" s="1"/>
  <c r="X26" i="3"/>
  <c r="Y26" i="3" s="1"/>
  <c r="U10" i="3" l="1"/>
  <c r="Q9" i="3" s="1"/>
  <c r="S28" i="3"/>
  <c r="T28" i="3" s="1"/>
  <c r="S31" i="3"/>
  <c r="T31" i="3" s="1"/>
  <c r="S21" i="3"/>
  <c r="T21" i="3" s="1"/>
  <c r="S23" i="3"/>
  <c r="T23" i="3" s="1"/>
  <c r="U9" i="3" l="1"/>
  <c r="M13" i="3" l="1"/>
  <c r="M14" i="3" s="1"/>
  <c r="F25" i="2" s="1"/>
  <c r="Q8" i="3"/>
  <c r="G36" i="2" l="1"/>
  <c r="G37" i="2" s="1"/>
  <c r="J36" i="2"/>
  <c r="J37" i="2" s="1"/>
  <c r="J39" i="2" l="1"/>
  <c r="J40" i="2" s="1"/>
  <c r="J43" i="2" s="1"/>
  <c r="G39" i="2"/>
  <c r="G40" i="2" s="1"/>
  <c r="I19" i="2" l="1"/>
  <c r="I21" i="2"/>
  <c r="N6" i="3" s="1"/>
  <c r="Q10" i="3" l="1"/>
  <c r="I20" i="2"/>
  <c r="U8" i="3" l="1"/>
  <c r="N5" i="3" s="1"/>
</calcChain>
</file>

<file path=xl/sharedStrings.xml><?xml version="1.0" encoding="utf-8"?>
<sst xmlns="http://schemas.openxmlformats.org/spreadsheetml/2006/main" count="645" uniqueCount="376">
  <si>
    <t>tons/yr</t>
  </si>
  <si>
    <t>u*</t>
  </si>
  <si>
    <t>m2/s</t>
  </si>
  <si>
    <t>m3/s</t>
  </si>
  <si>
    <t>m/s</t>
  </si>
  <si>
    <t>m</t>
  </si>
  <si>
    <t>m3/2</t>
  </si>
  <si>
    <t>porosity</t>
  </si>
  <si>
    <t>m/m</t>
  </si>
  <si>
    <t>Bc</t>
  </si>
  <si>
    <t>R</t>
  </si>
  <si>
    <t>S</t>
  </si>
  <si>
    <t>overbank?</t>
  </si>
  <si>
    <t>c</t>
  </si>
  <si>
    <t>m/yr</t>
  </si>
  <si>
    <t>RR</t>
  </si>
  <si>
    <t>curv</t>
  </si>
  <si>
    <t>dBc/dt</t>
  </si>
  <si>
    <t>TG</t>
  </si>
  <si>
    <t xml:space="preserve">Sc_fact </t>
  </si>
  <si>
    <t>Sec_flow</t>
  </si>
  <si>
    <t xml:space="preserve">Migration </t>
  </si>
  <si>
    <t>Tr_coeff1</t>
  </si>
  <si>
    <t>Tr_coeff2</t>
  </si>
  <si>
    <t>ssss</t>
  </si>
  <si>
    <t>XXX</t>
  </si>
  <si>
    <t>Rep^-0.6</t>
  </si>
  <si>
    <t>b_slope</t>
  </si>
  <si>
    <t>g</t>
  </si>
  <si>
    <t>m/s2</t>
  </si>
  <si>
    <t>mm/yr</t>
  </si>
  <si>
    <t>NOTATION</t>
  </si>
  <si>
    <t>DISCLAIMER</t>
  </si>
  <si>
    <t>accept responsibility or liability for its use by third parties.</t>
  </si>
  <si>
    <t>-</t>
  </si>
  <si>
    <t>u*j</t>
  </si>
  <si>
    <t>objective</t>
  </si>
  <si>
    <t>Input parameter</t>
  </si>
  <si>
    <t>Output parameter</t>
  </si>
  <si>
    <t>Percent error on sand load</t>
  </si>
  <si>
    <t>Criteria for model convergence</t>
  </si>
  <si>
    <r>
      <rPr>
        <sz val="11"/>
        <color theme="1"/>
        <rFont val="Symbol"/>
        <charset val="2"/>
      </rPr>
      <t>z_</t>
    </r>
    <r>
      <rPr>
        <sz val="11"/>
        <color theme="1"/>
        <rFont val="Calibri"/>
        <family val="2"/>
        <scheme val="minor"/>
      </rPr>
      <t>E,ref</t>
    </r>
  </si>
  <si>
    <r>
      <rPr>
        <sz val="11"/>
        <color theme="1"/>
        <rFont val="Symbol"/>
        <charset val="2"/>
      </rPr>
      <t>z_</t>
    </r>
    <r>
      <rPr>
        <sz val="11"/>
        <color theme="1"/>
        <rFont val="Calibri"/>
        <family val="2"/>
        <scheme val="minor"/>
      </rPr>
      <t>veg</t>
    </r>
  </si>
  <si>
    <t>conversion of the mud rating curve from metric tons/yr to m3/s</t>
  </si>
  <si>
    <t>spatial increment for the calcualtion of the suspended sand load</t>
  </si>
  <si>
    <t>Channel friction cofficient for hydraulic calculations</t>
  </si>
  <si>
    <t>Value needed for iterative calculation</t>
  </si>
  <si>
    <t>Point bar size distribution calculations</t>
  </si>
  <si>
    <t>Dh</t>
  </si>
  <si>
    <t>Suspended sand calculations</t>
  </si>
  <si>
    <t xml:space="preserve">Use this workbook at your own risk. </t>
  </si>
  <si>
    <t xml:space="preserve">Neither the authors nor any university/agency in which they are in the employ </t>
  </si>
  <si>
    <t>1) Do not write in cells that are not yellow or light blue</t>
  </si>
  <si>
    <t>3) Write your initial guesses in the light blue cells</t>
  </si>
  <si>
    <t>4) Compute flow depth and sediment load</t>
  </si>
  <si>
    <t>5) Compute floodplain thickness</t>
  </si>
  <si>
    <t>HOW TO USE THE CALCULATOR</t>
  </si>
  <si>
    <t>6) If cells N2 (N3) and N6 are very different from 0 you can</t>
  </si>
  <si>
    <t>b) Decrease the bed slope to decrease the mean annual sand load (cell N2 &lt; 0)</t>
  </si>
  <si>
    <t>c) Increase the channel width if dBc/dt &gt; 0 (cell N6), or</t>
  </si>
  <si>
    <t>d) Decrease the channel width if dBc/dt &lt; 0  (cell N6)</t>
  </si>
  <si>
    <t xml:space="preserve">7) Remember that in general </t>
  </si>
  <si>
    <t>a) if you increase the channel width, the mean annual load decreases, and</t>
  </si>
  <si>
    <t>8) Repeat steps 4-7 until convergence, i.e. when cells N2 (N3) and N6 are reasonably close to 0</t>
  </si>
  <si>
    <t>2) Write input paramters in the yellow cells (look at the notation worksheet)</t>
  </si>
  <si>
    <t>b) If you change more than one parameter from one iteration to the next, results rapidly become messy</t>
  </si>
  <si>
    <t>n_EH</t>
  </si>
  <si>
    <t>Floodplain width (m)</t>
  </si>
  <si>
    <t>Submerged specific gravity of the sediment (-)</t>
  </si>
  <si>
    <t>Active layer thickness (m)</t>
  </si>
  <si>
    <t>Bulk porosity of the system (-)</t>
  </si>
  <si>
    <t>Chezy coefficient for the channel (-)</t>
  </si>
  <si>
    <t>Friction coefficient for the floodplain (-)</t>
  </si>
  <si>
    <t>Floodplain number for the sand (-)</t>
  </si>
  <si>
    <t>Floodplain number for the mud (-)</t>
  </si>
  <si>
    <t>k = subscript that can be s (sand) or m (mud)</t>
  </si>
  <si>
    <t>Q_s,av</t>
  </si>
  <si>
    <t>Q_m,av</t>
  </si>
  <si>
    <t>p_s</t>
  </si>
  <si>
    <t>p_m</t>
  </si>
  <si>
    <t>F_f,s</t>
  </si>
  <si>
    <t>F_f,m</t>
  </si>
  <si>
    <t>F_pb,s</t>
  </si>
  <si>
    <t>F_pb,m</t>
  </si>
  <si>
    <t>F_pb,s+F_pb,m</t>
  </si>
  <si>
    <t>p_s + p_m</t>
  </si>
  <si>
    <t>beta_s</t>
  </si>
  <si>
    <t>beta_m</t>
  </si>
  <si>
    <t>Cz_c</t>
  </si>
  <si>
    <t>B_f</t>
  </si>
  <si>
    <t>Fl_s</t>
  </si>
  <si>
    <t>Fl_m</t>
  </si>
  <si>
    <r>
      <rPr>
        <sz val="14"/>
        <color theme="1"/>
        <rFont val="Symbol"/>
        <charset val="2"/>
      </rPr>
      <t>z</t>
    </r>
    <r>
      <rPr>
        <sz val="14"/>
        <color theme="1"/>
        <rFont val="Calibri"/>
        <family val="2"/>
        <scheme val="minor"/>
      </rPr>
      <t>_b</t>
    </r>
  </si>
  <si>
    <r>
      <rPr>
        <sz val="14"/>
        <color theme="1"/>
        <rFont val="Symbol"/>
        <charset val="2"/>
      </rPr>
      <t>a</t>
    </r>
    <r>
      <rPr>
        <sz val="14"/>
        <color theme="1"/>
        <rFont val="Calibri"/>
        <family val="2"/>
        <scheme val="minor"/>
      </rPr>
      <t>_EH</t>
    </r>
  </si>
  <si>
    <t>a_m</t>
  </si>
  <si>
    <t>b_m</t>
  </si>
  <si>
    <t>W</t>
  </si>
  <si>
    <r>
      <rPr>
        <sz val="14"/>
        <color theme="1"/>
        <rFont val="Symbol"/>
        <charset val="2"/>
      </rPr>
      <t>b</t>
    </r>
    <r>
      <rPr>
        <sz val="14"/>
        <color theme="1"/>
        <rFont val="Calibri"/>
        <family val="2"/>
        <scheme val="minor"/>
      </rPr>
      <t>_s</t>
    </r>
  </si>
  <si>
    <r>
      <rPr>
        <sz val="14"/>
        <color theme="1"/>
        <rFont val="Symbol"/>
        <charset val="2"/>
      </rPr>
      <t>b</t>
    </r>
    <r>
      <rPr>
        <sz val="14"/>
        <color theme="1"/>
        <rFont val="Calibri"/>
        <family val="2"/>
        <scheme val="minor"/>
      </rPr>
      <t>_m</t>
    </r>
  </si>
  <si>
    <r>
      <rPr>
        <sz val="14"/>
        <color theme="1"/>
        <rFont val="Symbol"/>
        <charset val="2"/>
      </rPr>
      <t>z</t>
    </r>
    <r>
      <rPr>
        <sz val="14"/>
        <color theme="1"/>
        <rFont val="Calibri"/>
        <family val="2"/>
        <scheme val="minor"/>
      </rPr>
      <t>_E,ref</t>
    </r>
  </si>
  <si>
    <r>
      <rPr>
        <sz val="14"/>
        <color theme="1"/>
        <rFont val="Symbol"/>
        <charset val="2"/>
      </rPr>
      <t>z</t>
    </r>
    <r>
      <rPr>
        <sz val="14"/>
        <color theme="1"/>
        <rFont val="Calibri"/>
        <family val="2"/>
        <scheme val="minor"/>
      </rPr>
      <t>_veg</t>
    </r>
  </si>
  <si>
    <t>Q_w,j</t>
  </si>
  <si>
    <t>p_j</t>
  </si>
  <si>
    <t>B_c</t>
  </si>
  <si>
    <t>Channel width (m)</t>
  </si>
  <si>
    <t>C_f,f</t>
  </si>
  <si>
    <t>H_c,j</t>
  </si>
  <si>
    <t>Subscript j indicates values computed for a given flow discharge, paramters with no subscript refer to mean annual values</t>
  </si>
  <si>
    <t>Q_s</t>
  </si>
  <si>
    <t>Q_m</t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</si>
  <si>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</t>
    </r>
  </si>
  <si>
    <r>
      <rPr>
        <sz val="12"/>
        <color theme="1"/>
        <rFont val="Symbol"/>
        <charset val="2"/>
      </rPr>
      <t>a</t>
    </r>
    <r>
      <rPr>
        <sz val="12"/>
        <color theme="1"/>
        <rFont val="Calibri"/>
        <family val="2"/>
        <scheme val="minor"/>
      </rPr>
      <t>_EH</t>
    </r>
  </si>
  <si>
    <r>
      <rPr>
        <sz val="11"/>
        <color theme="1"/>
        <rFont val="Symbol"/>
        <charset val="2"/>
      </rPr>
      <t>b</t>
    </r>
    <r>
      <rPr>
        <sz val="11"/>
        <color theme="1"/>
        <rFont val="Calibri"/>
        <family val="2"/>
        <scheme val="minor"/>
      </rPr>
      <t>_s</t>
    </r>
  </si>
  <si>
    <r>
      <rPr>
        <sz val="11"/>
        <color theme="1"/>
        <rFont val="Symbol"/>
        <charset val="2"/>
      </rPr>
      <t>b</t>
    </r>
    <r>
      <rPr>
        <sz val="11"/>
        <color theme="1"/>
        <rFont val="Calibri"/>
        <family val="2"/>
        <scheme val="minor"/>
      </rPr>
      <t>_m</t>
    </r>
  </si>
  <si>
    <t>L_f</t>
  </si>
  <si>
    <t>S_f</t>
  </si>
  <si>
    <t>D_f,s</t>
  </si>
  <si>
    <t>D_f,m</t>
  </si>
  <si>
    <t>H_pb</t>
  </si>
  <si>
    <t>Q_bf</t>
  </si>
  <si>
    <t>Fr_bf</t>
  </si>
  <si>
    <t>I_f</t>
  </si>
  <si>
    <t>a_m2</t>
  </si>
  <si>
    <r>
      <t>d</t>
    </r>
    <r>
      <rPr>
        <sz val="12"/>
        <color theme="1"/>
        <rFont val="Symbol"/>
        <charset val="2"/>
      </rPr>
      <t>z</t>
    </r>
  </si>
  <si>
    <t>C_f,c</t>
  </si>
  <si>
    <t>H_f,j</t>
  </si>
  <si>
    <t>Q_wf,j</t>
  </si>
  <si>
    <t>k_c,j</t>
  </si>
  <si>
    <t>Q_s,j</t>
  </si>
  <si>
    <t>Q_s,j*p_j</t>
  </si>
  <si>
    <t>u*_j</t>
  </si>
  <si>
    <t>c_b,s,j</t>
  </si>
  <si>
    <t>L_f/H_c,j</t>
  </si>
  <si>
    <t>C_s,j</t>
  </si>
  <si>
    <t>D_f,s,j</t>
  </si>
  <si>
    <t>D_f,s,j*p_j</t>
  </si>
  <si>
    <t>Q_m,j</t>
  </si>
  <si>
    <t>Q_m,j*p_j</t>
  </si>
  <si>
    <t>C_m,j</t>
  </si>
  <si>
    <t>D_f,m,j</t>
  </si>
  <si>
    <t>D_f,m,j*p_j</t>
  </si>
  <si>
    <t>z</t>
  </si>
  <si>
    <t>conc/c_b</t>
  </si>
  <si>
    <t>Q_w</t>
  </si>
  <si>
    <t>p</t>
  </si>
  <si>
    <t>H_c</t>
  </si>
  <si>
    <t>Shear velocity (m/s)</t>
  </si>
  <si>
    <t>Shields number (-)</t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</si>
  <si>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</t>
    </r>
  </si>
  <si>
    <t>Friction coefficient for the channel (-)</t>
  </si>
  <si>
    <t>G_s</t>
  </si>
  <si>
    <t>G_m</t>
  </si>
  <si>
    <t>Flow intermittency, i.e. average fraction of the year in which the river is morphologically active (-) [Paola et al., 1992]</t>
  </si>
  <si>
    <t>Q_w,f</t>
  </si>
  <si>
    <t>C_s</t>
  </si>
  <si>
    <t>C_m</t>
  </si>
  <si>
    <t>c_b,s</t>
  </si>
  <si>
    <t>Sand diameter (m)</t>
  </si>
  <si>
    <t>Mud grain size (m)</t>
  </si>
  <si>
    <t>conc</t>
  </si>
  <si>
    <t>k</t>
  </si>
  <si>
    <t>von Karman constant equal to 0.4 (-)</t>
  </si>
  <si>
    <t>vs_s</t>
  </si>
  <si>
    <t>Sand settling velocity (m/s)</t>
  </si>
  <si>
    <t>k_c</t>
  </si>
  <si>
    <t>Roughness height (m)</t>
  </si>
  <si>
    <t>H_f</t>
  </si>
  <si>
    <t>k_s</t>
  </si>
  <si>
    <t>H_bf</t>
  </si>
  <si>
    <t>U_bf</t>
  </si>
  <si>
    <t>H_bf,s</t>
  </si>
  <si>
    <r>
      <rPr>
        <sz val="14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</t>
    </r>
    <r>
      <rPr>
        <sz val="12"/>
        <color theme="1"/>
        <rFont val="Calibri"/>
        <family val="2"/>
        <charset val="2"/>
        <scheme val="minor"/>
      </rPr>
      <t>j</t>
    </r>
  </si>
  <si>
    <t>D_bank</t>
  </si>
  <si>
    <t>Q_s,bf</t>
  </si>
  <si>
    <t>u_1</t>
  </si>
  <si>
    <t>Rep</t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</si>
  <si>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*_c</t>
    </r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</si>
  <si>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*_bf</t>
    </r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</si>
  <si>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*_s,bf</t>
    </r>
  </si>
  <si>
    <t>B_bank</t>
  </si>
  <si>
    <t>n_bar</t>
  </si>
  <si>
    <t>q_s,non</t>
  </si>
  <si>
    <t>q_n,non</t>
  </si>
  <si>
    <t>U_b1</t>
  </si>
  <si>
    <t>U_b2</t>
  </si>
  <si>
    <r>
      <rPr>
        <sz val="14"/>
        <color theme="1"/>
        <rFont val="Symbol"/>
        <charset val="2"/>
      </rPr>
      <t>z</t>
    </r>
    <r>
      <rPr>
        <sz val="14"/>
        <color theme="1"/>
        <rFont val="Calibri"/>
        <family val="2"/>
        <scheme val="minor"/>
      </rPr>
      <t>_b1</t>
    </r>
  </si>
  <si>
    <r>
      <rPr>
        <sz val="14"/>
        <color theme="1"/>
        <rFont val="Symbol"/>
        <charset val="2"/>
      </rPr>
      <t>z</t>
    </r>
    <r>
      <rPr>
        <sz val="14"/>
        <color theme="1"/>
        <rFont val="Calibri"/>
        <family val="2"/>
        <scheme val="minor"/>
      </rPr>
      <t>_b2</t>
    </r>
  </si>
  <si>
    <r>
      <rPr>
        <sz val="14"/>
        <color theme="1"/>
        <rFont val="Symbol"/>
        <charset val="2"/>
      </rPr>
      <t>t*</t>
    </r>
    <r>
      <rPr>
        <sz val="14"/>
        <color theme="1"/>
        <rFont val="Calibri"/>
        <family val="2"/>
        <scheme val="minor"/>
      </rPr>
      <t>_b1</t>
    </r>
  </si>
  <si>
    <r>
      <rPr>
        <sz val="14"/>
        <color theme="1"/>
        <rFont val="Symbol"/>
        <charset val="2"/>
      </rPr>
      <t>t*</t>
    </r>
    <r>
      <rPr>
        <sz val="14"/>
        <color theme="1"/>
        <rFont val="Calibri"/>
        <family val="2"/>
        <scheme val="minor"/>
      </rPr>
      <t>_b2</t>
    </r>
  </si>
  <si>
    <t>SC_fact</t>
  </si>
  <si>
    <t>e</t>
  </si>
  <si>
    <t>T_bed</t>
  </si>
  <si>
    <t>G_bed</t>
  </si>
  <si>
    <r>
      <rPr>
        <sz val="12"/>
        <color theme="1"/>
        <rFont val="Symbol"/>
        <charset val="2"/>
      </rPr>
      <t>a</t>
    </r>
    <r>
      <rPr>
        <sz val="12"/>
        <color theme="1"/>
        <rFont val="Calibri"/>
        <family val="2"/>
        <scheme val="minor"/>
      </rPr>
      <t>_bedload</t>
    </r>
  </si>
  <si>
    <r>
      <rPr>
        <sz val="14"/>
        <color theme="1"/>
        <rFont val="Symbol"/>
        <charset val="2"/>
      </rPr>
      <t>a</t>
    </r>
    <r>
      <rPr>
        <sz val="14"/>
        <color theme="1"/>
        <rFont val="Calibri"/>
        <family val="2"/>
        <scheme val="minor"/>
      </rPr>
      <t>_bedload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</si>
  <si>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*_bf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</si>
  <si>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*_s,bf</t>
    </r>
  </si>
  <si>
    <r>
      <rPr>
        <sz val="12"/>
        <color theme="1"/>
        <rFont val="Symbol"/>
        <charset val="2"/>
      </rPr>
      <t>t*</t>
    </r>
    <r>
      <rPr>
        <sz val="12"/>
        <color theme="1"/>
        <rFont val="Calibri"/>
        <family val="2"/>
        <scheme val="minor"/>
      </rPr>
      <t>_calc</t>
    </r>
  </si>
  <si>
    <r>
      <rPr>
        <sz val="12"/>
        <color theme="1"/>
        <rFont val="Symbol"/>
        <charset val="2"/>
      </rPr>
      <t>b</t>
    </r>
    <r>
      <rPr>
        <sz val="12"/>
        <color theme="1"/>
        <rFont val="Calibri"/>
        <family val="2"/>
        <scheme val="minor"/>
      </rPr>
      <t>_o</t>
    </r>
  </si>
  <si>
    <r>
      <rPr>
        <sz val="12"/>
        <color theme="1"/>
        <rFont val="Symbol"/>
        <charset val="2"/>
      </rPr>
      <t>b</t>
    </r>
    <r>
      <rPr>
        <sz val="12"/>
        <color theme="1"/>
        <rFont val="Calibri"/>
        <family val="2"/>
        <scheme val="minor"/>
      </rPr>
      <t>_star</t>
    </r>
  </si>
  <si>
    <r>
      <t>c</t>
    </r>
    <r>
      <rPr>
        <sz val="12"/>
        <color theme="1"/>
        <rFont val="Calibri"/>
        <family val="2"/>
      </rPr>
      <t>_1</t>
    </r>
  </si>
  <si>
    <r>
      <rPr>
        <sz val="12"/>
        <color theme="1"/>
        <rFont val="Symbol"/>
        <charset val="2"/>
      </rPr>
      <t>c</t>
    </r>
    <r>
      <rPr>
        <sz val="12"/>
        <color theme="1"/>
        <rFont val="Calibri"/>
        <family val="2"/>
        <scheme val="minor"/>
      </rPr>
      <t>_20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</si>
  <si>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 xml:space="preserve">*_c </t>
    </r>
  </si>
  <si>
    <r>
      <rPr>
        <sz val="12"/>
        <color theme="1"/>
        <rFont val="Symbol"/>
        <charset val="2"/>
      </rPr>
      <t>t*</t>
    </r>
    <r>
      <rPr>
        <sz val="12"/>
        <color theme="1"/>
        <rFont val="Calibri"/>
        <family val="2"/>
        <scheme val="minor"/>
      </rPr>
      <t>_b1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</si>
  <si>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*_ratio</t>
    </r>
  </si>
  <si>
    <r>
      <rPr>
        <sz val="12"/>
        <color theme="1"/>
        <rFont val="Symbol"/>
        <charset val="2"/>
      </rPr>
      <t>t*</t>
    </r>
    <r>
      <rPr>
        <sz val="12"/>
        <color theme="1"/>
        <rFont val="Calibri"/>
        <family val="2"/>
        <scheme val="minor"/>
      </rPr>
      <t>_b2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</si>
  <si>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_non</t>
    </r>
  </si>
  <si>
    <r>
      <rPr>
        <sz val="12"/>
        <color theme="1"/>
        <rFont val="Symbol"/>
        <charset val="2"/>
      </rPr>
      <t>z_</t>
    </r>
    <r>
      <rPr>
        <sz val="12"/>
        <color theme="1"/>
        <rFont val="Calibri"/>
        <family val="2"/>
        <scheme val="minor"/>
      </rPr>
      <t>E,ref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</si>
  <si>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_E,ref,X</t>
    </r>
  </si>
  <si>
    <r>
      <rPr>
        <sz val="12"/>
        <color theme="1"/>
        <rFont val="Symbol"/>
        <charset val="2"/>
      </rPr>
      <t>z_</t>
    </r>
    <r>
      <rPr>
        <sz val="12"/>
        <color theme="1"/>
        <rFont val="Calibri"/>
        <family val="2"/>
        <scheme val="minor"/>
      </rPr>
      <t>veg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</si>
  <si>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_b1,1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</si>
  <si>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_b2,1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</si>
  <si>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_b1,2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</si>
  <si>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_b2,2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</si>
  <si>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_b1,3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</si>
  <si>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_b2,3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</si>
  <si>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_b1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</si>
  <si>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_b2</t>
    </r>
  </si>
  <si>
    <t xml:space="preserve">Bank 1 migration </t>
  </si>
  <si>
    <t xml:space="preserve">Bank 2 migration </t>
  </si>
  <si>
    <t>L_a</t>
  </si>
  <si>
    <t>D_f</t>
  </si>
  <si>
    <t>Bed slope (m/m)</t>
  </si>
  <si>
    <t>Floodplain thickness (m)</t>
  </si>
  <si>
    <t>Volumetric suspended sand concentration at elevation z above the channel bed (-) [Parker, 2004]</t>
  </si>
  <si>
    <t>Near bed volumetric concentration of suspended sand (-) [Parker, 2004]</t>
  </si>
  <si>
    <t>Water depth in the channel (m)</t>
  </si>
  <si>
    <t>Water depth on the floodplain (m)</t>
  </si>
  <si>
    <t>Coefficient of the power law used to express the mud rating curve with flow discharge in m3/s and mud load in metric tons/yr [tons*s/(m3*yr)]</t>
  </si>
  <si>
    <t>Exponent of the power law used to express the mud rating curve with flow discharge in m3/s and mud load in metric tons/yr.(-)</t>
  </si>
  <si>
    <t>Reach averaged sinuosity (-)</t>
  </si>
  <si>
    <t>Parameter to estimate the amount of sand in point bar deposits (-)</t>
  </si>
  <si>
    <t>Reference rate of bank erosion (m/yr) [Eke et al., 2014]</t>
  </si>
  <si>
    <t>Rate of vegetal encroachment (m/yr) [Eke et al., 2014]</t>
  </si>
  <si>
    <t>Acceleration of gravity (m/s2)</t>
  </si>
  <si>
    <t>Volume fraction content of sand in the load (-)</t>
  </si>
  <si>
    <t>Volume fraction content of mud in the load (-)</t>
  </si>
  <si>
    <t>Downvalley slope (m/m)</t>
  </si>
  <si>
    <t>Volume fraction content of sand in the floodplain (-)</t>
  </si>
  <si>
    <t>Volume fraction content of mud in the floodplain (-)</t>
  </si>
  <si>
    <t>Volume fraction content of sand in point bars (-)</t>
  </si>
  <si>
    <t>Volume fraction content of mud in point bars (-)</t>
  </si>
  <si>
    <t>Overbank deposition rate of sand and mud (mm/yr)</t>
  </si>
  <si>
    <t>Bankfull discharge (m3/s)</t>
  </si>
  <si>
    <t>Bankfull depth, equal to L_f (m)</t>
  </si>
  <si>
    <t>Bankfull Froude number (-)</t>
  </si>
  <si>
    <t>Bankfull Shields number (-)</t>
  </si>
  <si>
    <t>Radius of curvature (m)</t>
  </si>
  <si>
    <t>Curvature (-)</t>
  </si>
  <si>
    <t>Particle Reynolds number of the sand (-)</t>
  </si>
  <si>
    <t>Roughness height associated with skin friction (m)</t>
  </si>
  <si>
    <t>Bank slope (-)</t>
  </si>
  <si>
    <t>Bankfull velocity (m/s)</t>
  </si>
  <si>
    <t>Bankfull Shields number associated with skin friction (-)</t>
  </si>
  <si>
    <t>Lateral flow variation in a linear flow model for a spatially constant curvature channel (-) [Johannesson and Parker, 1989]</t>
  </si>
  <si>
    <t>Near bank flow velocity (m/s)  [Johannesson and Parker, 1989]</t>
  </si>
  <si>
    <t>Near bank Shields number (-)  [Johannesson and Parker, 1989]</t>
  </si>
  <si>
    <t>Bank region width (m)  [Johannesson and Parker, 1989]</t>
  </si>
  <si>
    <t>Non-dimensional transverse coordinate of the bank (-)  [Johannesson and Parker, 1989]</t>
  </si>
  <si>
    <t>Streamwise non-dimensional bedload transport rate in the bank region (-)</t>
  </si>
  <si>
    <t>Transverse bedload transport rate in the bank region (-)</t>
  </si>
  <si>
    <t>Bank migration rate (m/yr) [Eke et al., 2014]</t>
  </si>
  <si>
    <t>Time rate of change of channe width [Eke et al., 2014]</t>
  </si>
  <si>
    <t>REFERENCES</t>
  </si>
  <si>
    <r>
      <rPr>
        <i/>
        <sz val="16"/>
        <color theme="1"/>
        <rFont val="Calibri"/>
        <family val="2"/>
        <scheme val="minor"/>
      </rPr>
      <t>turbidity currents</t>
    </r>
    <r>
      <rPr>
        <sz val="16"/>
        <color theme="1"/>
        <rFont val="Calibri"/>
        <family val="2"/>
        <scheme val="minor"/>
      </rPr>
      <t>. E-book available at http://hydrolab.illinois.edu/people/parkerg/morphodynamics_e-book.htm</t>
    </r>
  </si>
  <si>
    <r>
      <t xml:space="preserve">tailings and its amelioration. </t>
    </r>
    <r>
      <rPr>
        <i/>
        <sz val="16"/>
        <color theme="1"/>
        <rFont val="Calibri"/>
        <family val="2"/>
        <scheme val="minor"/>
      </rPr>
      <t>International Seminar on Recent Trends of Floods and their</t>
    </r>
  </si>
  <si>
    <r>
      <rPr>
        <i/>
        <sz val="16"/>
        <color theme="1"/>
        <rFont val="Calibri"/>
        <family val="2"/>
        <scheme val="minor"/>
      </rPr>
      <t>Preventive Measures,</t>
    </r>
    <r>
      <rPr>
        <sz val="16"/>
        <color theme="1"/>
        <rFont val="Calibri"/>
        <family val="2"/>
        <scheme val="minor"/>
      </rPr>
      <t xml:space="preserve"> Sapporo, Japan, June 20-21</t>
    </r>
  </si>
  <si>
    <t>Technology, July 11</t>
  </si>
  <si>
    <t>Paola, C., Helloer, P. L. and Angevine, C. L., 1992, The large-scale dynamics of grain-size variation in alluvial basins</t>
  </si>
  <si>
    <r>
      <rPr>
        <i/>
        <sz val="16"/>
        <color theme="1"/>
        <rFont val="Calibri"/>
        <family val="2"/>
        <scheme val="minor"/>
      </rPr>
      <t>Basin Research</t>
    </r>
    <r>
      <rPr>
        <sz val="16"/>
        <color theme="1"/>
        <rFont val="Calibri"/>
        <family val="2"/>
        <scheme val="minor"/>
      </rPr>
      <t xml:space="preserve"> 4, 73-90</t>
    </r>
  </si>
  <si>
    <r>
      <t xml:space="preserve">Parker, G., 2004, </t>
    </r>
    <r>
      <rPr>
        <i/>
        <sz val="16"/>
        <color theme="1"/>
        <rFont val="Calibri"/>
        <family val="2"/>
        <scheme val="minor"/>
      </rPr>
      <t xml:space="preserve">1D sediment transport morphodynamics with applications to rivers and </t>
    </r>
  </si>
  <si>
    <t xml:space="preserve">Parker, G., 1996, Flooding in the lower Ok Tedi, Papua New Guinea, due to the disposal of mine </t>
  </si>
  <si>
    <t>Parker, G., 2002, Some Ideas on modeling of Floodplain construction, Tokyo Institute of</t>
  </si>
  <si>
    <r>
      <t xml:space="preserve">Johannessons, H. and Parker, G., 1989, Secondary Flow in Mildly Sinuous Channel, </t>
    </r>
    <r>
      <rPr>
        <i/>
        <sz val="16"/>
        <color theme="1"/>
        <rFont val="Calibri"/>
        <family val="2"/>
        <scheme val="minor"/>
      </rPr>
      <t>Journal of Hydraulic</t>
    </r>
  </si>
  <si>
    <r>
      <rPr>
        <i/>
        <sz val="16"/>
        <color theme="1"/>
        <rFont val="Calibri"/>
        <family val="2"/>
        <scheme val="minor"/>
      </rPr>
      <t>Engineering</t>
    </r>
    <r>
      <rPr>
        <sz val="16"/>
        <color theme="1"/>
        <rFont val="Calibri"/>
        <family val="2"/>
        <scheme val="minor"/>
      </rPr>
      <t xml:space="preserve"> 115 (3), 289-308</t>
    </r>
  </si>
  <si>
    <t>Eke, E., Parker, G. and Shimizu, Y., 2014, Numeriacal modeling of erosinal and depositional bank processes</t>
  </si>
  <si>
    <t>iin migrating river bends with self-formed width: Morphodynamics of bar push and bank pull</t>
  </si>
  <si>
    <r>
      <rPr>
        <i/>
        <sz val="16"/>
        <color theme="1"/>
        <rFont val="Calibri"/>
        <family val="2"/>
        <scheme val="minor"/>
      </rPr>
      <t>Journal of Geophysical Research - Earth Surface</t>
    </r>
    <r>
      <rPr>
        <sz val="16"/>
        <color theme="1"/>
        <rFont val="Calibri"/>
        <family val="2"/>
        <scheme val="minor"/>
      </rPr>
      <t xml:space="preserve"> 119, 1455-1483</t>
    </r>
  </si>
  <si>
    <t>Mean annual sand load (tons/yr)</t>
  </si>
  <si>
    <t>Mean annual mud load (tons/yr)</t>
  </si>
  <si>
    <t>d_s</t>
  </si>
  <si>
    <t>d_m</t>
  </si>
  <si>
    <t>Point bar height (m) [Ikeda et al., 1981]</t>
  </si>
  <si>
    <t>Difference in elevation between point bar and floodplain (m) [Parker, 2002]</t>
  </si>
  <si>
    <t>Sand transport capacity at bankfull flow (m3/s)</t>
  </si>
  <si>
    <t>CALCULATION OF THE FLOW</t>
  </si>
  <si>
    <t>Known paramters</t>
  </si>
  <si>
    <t>Unkowns</t>
  </si>
  <si>
    <t>Q_w,c</t>
  </si>
  <si>
    <t>Water discharge in the channel(m3/s)</t>
  </si>
  <si>
    <t>Water discharge on the floodplain (m3/s)</t>
  </si>
  <si>
    <t>Water discharge (m3/s)</t>
  </si>
  <si>
    <t>If H_c &gt; L_f</t>
  </si>
  <si>
    <t>If H_c &lt;= L_f</t>
  </si>
  <si>
    <t xml:space="preserve">Critical Shields number for the initiation of sand motion (-) </t>
  </si>
  <si>
    <t>CALCULATION OF POINT BAR HEIGHT, MIGRATION RATE AND CHANGE IN CHANNEL WIDTH</t>
  </si>
  <si>
    <t>Calculation of model paramters</t>
  </si>
  <si>
    <t>s</t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</si>
  <si>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*_calc</t>
    </r>
  </si>
  <si>
    <t>Bankfull Shields number to be used in the bank migration calculations (-)</t>
  </si>
  <si>
    <t>n</t>
  </si>
  <si>
    <t>kinematic viscosity of water equal to 0.000001 m2/s</t>
  </si>
  <si>
    <t>d_bank</t>
  </si>
  <si>
    <t>Critical Shields number for the initiation of sand motion (-) (Parker, 2004)</t>
  </si>
  <si>
    <t>Radius of curvature (m) (Langbein &amp; Leopold, 1966)</t>
  </si>
  <si>
    <t xml:space="preserve">Ikeda, S., Parker, G. &amp; Sawai, K. (1981), Bend theory of river meanders. Part 1. Linear </t>
  </si>
  <si>
    <r>
      <t xml:space="preserve">development, </t>
    </r>
    <r>
      <rPr>
        <i/>
        <sz val="16"/>
        <color theme="1"/>
        <rFont val="Calibri"/>
        <family val="2"/>
        <scheme val="minor"/>
      </rPr>
      <t>Journal of Fluid Mechanics</t>
    </r>
    <r>
      <rPr>
        <sz val="16"/>
        <color theme="1"/>
        <rFont val="Calibri"/>
        <family val="2"/>
        <scheme val="minor"/>
      </rPr>
      <t xml:space="preserve"> 112, 363-377</t>
    </r>
  </si>
  <si>
    <t>Survey Professional Paper 422-H, United States Government Printing Office, Washington.</t>
  </si>
  <si>
    <r>
      <t xml:space="preserve">Langbein, W. B. &amp; Leopold, L. B., 1966, </t>
    </r>
    <r>
      <rPr>
        <i/>
        <sz val="16"/>
        <color theme="1"/>
        <rFont val="Calibri"/>
        <family val="2"/>
        <scheme val="minor"/>
      </rPr>
      <t>River Meanders – Theory of Minimum Variance</t>
    </r>
    <r>
      <rPr>
        <sz val="16"/>
        <color theme="1"/>
        <rFont val="Calibri"/>
        <family val="2"/>
        <scheme val="minor"/>
      </rPr>
      <t xml:space="preserve">, Geological </t>
    </r>
  </si>
  <si>
    <t xml:space="preserve">Bank migration model </t>
  </si>
  <si>
    <t>Bank 1 (i = 1)</t>
  </si>
  <si>
    <t>Bank 2 (i = 2)</t>
  </si>
  <si>
    <t>q_n</t>
  </si>
  <si>
    <t>Mean annual sand load (m3/s)</t>
  </si>
  <si>
    <t>Calculation of point bar height and bank coordinate</t>
  </si>
  <si>
    <t>1) compute the velocity perturbation</t>
  </si>
  <si>
    <t>2) Compute near bank velocity and transport coefficients</t>
  </si>
  <si>
    <t xml:space="preserve">a) determine near-bank Shields number </t>
  </si>
  <si>
    <t>c) compute migration rates for</t>
  </si>
  <si>
    <t>i) eroding bank</t>
  </si>
  <si>
    <t>ii) depositing bank</t>
  </si>
  <si>
    <t>iii) stationary bank</t>
  </si>
  <si>
    <t>d) determine if the bank erodes, deposits or stays in a fix position based</t>
  </si>
  <si>
    <t>on the magnitude of the near-bank Shields number</t>
  </si>
  <si>
    <t xml:space="preserve">the bank erodes </t>
  </si>
  <si>
    <t xml:space="preserve">if </t>
  </si>
  <si>
    <t>sediment is deposited</t>
  </si>
  <si>
    <t>nothing happens</t>
  </si>
  <si>
    <t>4) Determine channel migration rate and rate of channel width change</t>
  </si>
  <si>
    <t xml:space="preserve">2) bankfull depth and Shields number associated with skin friction </t>
  </si>
  <si>
    <t>1) Radius of curvature, non-dimensional curvature and epsilon</t>
  </si>
  <si>
    <t>3) Shields number to be used in the calculations</t>
  </si>
  <si>
    <t>4) Shields number for the initiation of sand motion</t>
  </si>
  <si>
    <t>Geometric mean size of the bank material (m)</t>
  </si>
  <si>
    <t xml:space="preserve">Johannesson, H. and Parker, G., 1988, Theory of river meanders, Project Report 278, University of </t>
  </si>
  <si>
    <t xml:space="preserve">Minnesota, St. Anthony Falls Hydraulic Laboratory. </t>
  </si>
  <si>
    <t>4) Bank parameters</t>
  </si>
  <si>
    <t>iteratively solve</t>
  </si>
  <si>
    <t>with the constaints</t>
  </si>
  <si>
    <t>solve</t>
  </si>
  <si>
    <t>Calculation of bankfull parameters</t>
  </si>
  <si>
    <t>3) Compute bank migration rates (i = bank 1, bank 2)</t>
  </si>
  <si>
    <t>Cell N2 should be equal to 0</t>
  </si>
  <si>
    <t>Cell N5 should be equal to 0</t>
  </si>
  <si>
    <t>dBc/dt should be equal to zero</t>
  </si>
  <si>
    <t>t*_bf</t>
  </si>
  <si>
    <t>Calculation of channel migration and width change</t>
  </si>
  <si>
    <t>Point bar height and bankfull values</t>
  </si>
  <si>
    <t>Mean annual mud load (m3/s)</t>
  </si>
  <si>
    <t>Gs</t>
  </si>
  <si>
    <t>Gm</t>
  </si>
  <si>
    <t>(Ikeda et al., 1981; Johannesson &amp; Parker, 1988, 1989, Paola et al., 1992, Parker, 2004, Wright and Parker, 2005, Eke et al., 2014)</t>
  </si>
  <si>
    <t xml:space="preserve">Wright, S. and Parjer, G., 2005, Modeling downstream fining in sand-bed rivers. I: formulation. Journal of Hydraulic </t>
  </si>
  <si>
    <t xml:space="preserve">Research 43 (6), 612-619. </t>
  </si>
  <si>
    <t>b) determine near-bank sand fluxes</t>
  </si>
  <si>
    <t>Nearly vertical coordinate upward normal from the channel bed (m)</t>
  </si>
  <si>
    <t>Vertically averaged volumetric suspended sand concentration in the channel above the floodplain (-) [Parker, 2004]</t>
  </si>
  <si>
    <t>Vertically averaged volumetric suspended mud concentration in the channel above the floodplain (-) [Parker, 2002]</t>
  </si>
  <si>
    <t>Fraction of the year in which the discharge is equal to Q_w (-)</t>
  </si>
  <si>
    <t>Channel migration rate (m/yr or m/s) [Eke et al., 2014]</t>
  </si>
  <si>
    <t>Overbank deposition rate of sand (m2/s or mm/yr when expressed per unit floodplain width) [Parker, 1996]</t>
  </si>
  <si>
    <t>Overbank deposition rate of mud (m2/s or mm/yr when expressed per unit floodplain width) [Parker, 1996]</t>
  </si>
  <si>
    <t>Fraction of the total load transported as bedload (-)</t>
  </si>
  <si>
    <t>Coefficient of the Engelund and Hansen -type load relation (-)</t>
  </si>
  <si>
    <t>Exponent of the Engelund and Hansen -type load relation (-)</t>
  </si>
  <si>
    <t>Parameter to estimate the amount of mud in point bar deposits (-)</t>
  </si>
  <si>
    <t>Non-dimensional elevation above the channel bed (z/Hc) (-)</t>
  </si>
  <si>
    <t>Non-dimensional elevation above the channel bed (zb/Hc) where the near bed volumetric concentration of suspended sand is computed (-)</t>
  </si>
  <si>
    <t>z_b</t>
  </si>
  <si>
    <t>Elevation above the channel bed where the near bed volumetric concentration of suspended sand is computed (m)</t>
  </si>
  <si>
    <t>Flow and load calculations</t>
  </si>
  <si>
    <t>I_f,ref</t>
  </si>
  <si>
    <t>Reference flow intermittency for channel migration calculations, set equal to I_f in the calculations [Eke et al., 2014]</t>
  </si>
  <si>
    <t xml:space="preserve">a) Increase the bed slope (cell I13) to increase the equilibrium mean annual sand load (cell N2 &gt; 0) </t>
  </si>
  <si>
    <t>E</t>
  </si>
  <si>
    <r>
      <rPr>
        <sz val="12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U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</si>
</sst>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E+00"/>
    <numFmt numFmtId="166" formatCode="0.00000"/>
    <numFmt numFmtId="167" formatCode="0.0000"/>
    <numFmt numFmtId="168" formatCode="0.0"/>
    <numFmt numFmtId="169" formatCode="0.000000"/>
    <numFmt numFmtId="170" formatCode="0E+00"/>
  </numFmts>
  <fonts count="4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color theme="1"/>
      <name val="Symbol"/>
      <charset val="2"/>
    </font>
    <font>
      <sz val="12"/>
      <color theme="1"/>
      <name val="Calibri"/>
      <family val="2"/>
      <charset val="2"/>
      <scheme val="minor"/>
    </font>
    <font>
      <sz val="11"/>
      <color theme="1"/>
      <name val="Symbol"/>
      <charset val="2"/>
    </font>
    <font>
      <sz val="11"/>
      <color theme="1"/>
      <name val="Calibri"/>
      <family val="2"/>
      <charset val="2"/>
      <scheme val="minor"/>
    </font>
    <font>
      <b/>
      <sz val="14"/>
      <color theme="1"/>
      <name val="Calibri"/>
      <family val="2"/>
      <scheme val="minor"/>
    </font>
    <font>
      <sz val="16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charset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color theme="1"/>
      <name val="Symbol"/>
      <charset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</font>
    <font>
      <i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theme="1"/>
      <name val="Cambria Math"/>
      <family val="1"/>
    </font>
    <font>
      <sz val="12"/>
      <color theme="1"/>
      <name val="Symbol"/>
      <family val="1"/>
      <charset val="2"/>
    </font>
    <font>
      <sz val="12"/>
      <color theme="1"/>
      <name val="Calibri"/>
      <family val="1"/>
      <charset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5" fillId="0" borderId="0"/>
    <xf numFmtId="0" fontId="13" fillId="0" borderId="0"/>
  </cellStyleXfs>
  <cellXfs count="128">
    <xf numFmtId="0" fontId="0" fillId="0" borderId="0" xfId="0"/>
    <xf numFmtId="0" fontId="15" fillId="0" borderId="0" xfId="1"/>
    <xf numFmtId="164" fontId="15" fillId="0" borderId="0" xfId="1" applyNumberFormat="1"/>
    <xf numFmtId="0" fontId="16" fillId="0" borderId="0" xfId="1" applyFont="1"/>
    <xf numFmtId="165" fontId="15" fillId="0" borderId="0" xfId="1" applyNumberFormat="1"/>
    <xf numFmtId="11" fontId="15" fillId="0" borderId="0" xfId="1" applyNumberFormat="1"/>
    <xf numFmtId="2" fontId="15" fillId="0" borderId="0" xfId="1" applyNumberFormat="1"/>
    <xf numFmtId="166" fontId="15" fillId="0" borderId="0" xfId="1" applyNumberFormat="1"/>
    <xf numFmtId="167" fontId="15" fillId="0" borderId="0" xfId="1" applyNumberFormat="1"/>
    <xf numFmtId="0" fontId="15" fillId="2" borderId="1" xfId="1" applyFill="1" applyBorder="1"/>
    <xf numFmtId="168" fontId="15" fillId="0" borderId="0" xfId="1" applyNumberFormat="1"/>
    <xf numFmtId="0" fontId="0" fillId="2" borderId="1" xfId="0" applyFill="1" applyBorder="1"/>
    <xf numFmtId="0" fontId="14" fillId="0" borderId="0" xfId="1" applyFont="1"/>
    <xf numFmtId="0" fontId="18" fillId="2" borderId="2" xfId="2" applyFont="1" applyFill="1" applyBorder="1"/>
    <xf numFmtId="0" fontId="13" fillId="2" borderId="3" xfId="2" applyFill="1" applyBorder="1"/>
    <xf numFmtId="0" fontId="13" fillId="2" borderId="4" xfId="2" applyFill="1" applyBorder="1"/>
    <xf numFmtId="0" fontId="18" fillId="2" borderId="5" xfId="2" applyFont="1" applyFill="1" applyBorder="1"/>
    <xf numFmtId="0" fontId="13" fillId="2" borderId="0" xfId="2" applyFill="1"/>
    <xf numFmtId="0" fontId="13" fillId="2" borderId="6" xfId="2" applyFill="1" applyBorder="1"/>
    <xf numFmtId="0" fontId="19" fillId="2" borderId="0" xfId="0" applyFont="1" applyFill="1"/>
    <xf numFmtId="0" fontId="18" fillId="2" borderId="7" xfId="2" applyFont="1" applyFill="1" applyBorder="1"/>
    <xf numFmtId="0" fontId="19" fillId="2" borderId="8" xfId="0" applyFont="1" applyFill="1" applyBorder="1"/>
    <xf numFmtId="0" fontId="13" fillId="2" borderId="8" xfId="2" applyFill="1" applyBorder="1"/>
    <xf numFmtId="0" fontId="13" fillId="2" borderId="9" xfId="2" applyFill="1" applyBorder="1"/>
    <xf numFmtId="166" fontId="17" fillId="2" borderId="1" xfId="1" applyNumberFormat="1" applyFont="1" applyFill="1" applyBorder="1"/>
    <xf numFmtId="2" fontId="15" fillId="4" borderId="1" xfId="1" applyNumberFormat="1" applyFill="1" applyBorder="1"/>
    <xf numFmtId="168" fontId="17" fillId="2" borderId="1" xfId="1" applyNumberFormat="1" applyFont="1" applyFill="1" applyBorder="1"/>
    <xf numFmtId="0" fontId="12" fillId="0" borderId="0" xfId="1" applyFont="1"/>
    <xf numFmtId="0" fontId="15" fillId="0" borderId="0" xfId="1" applyAlignment="1">
      <alignment horizontal="center"/>
    </xf>
    <xf numFmtId="0" fontId="12" fillId="0" borderId="0" xfId="1" applyFont="1" applyAlignment="1">
      <alignment horizontal="center"/>
    </xf>
    <xf numFmtId="167" fontId="15" fillId="0" borderId="0" xfId="1" applyNumberFormat="1" applyAlignment="1">
      <alignment horizontal="center"/>
    </xf>
    <xf numFmtId="164" fontId="15" fillId="0" borderId="0" xfId="1" applyNumberFormat="1" applyAlignment="1">
      <alignment horizontal="center"/>
    </xf>
    <xf numFmtId="11" fontId="15" fillId="0" borderId="0" xfId="1" applyNumberFormat="1" applyAlignment="1">
      <alignment horizontal="center"/>
    </xf>
    <xf numFmtId="165" fontId="15" fillId="0" borderId="0" xfId="1" applyNumberFormat="1" applyAlignment="1">
      <alignment horizontal="center"/>
    </xf>
    <xf numFmtId="167" fontId="22" fillId="0" borderId="0" xfId="1" applyNumberFormat="1" applyFont="1" applyAlignment="1">
      <alignment horizontal="center"/>
    </xf>
    <xf numFmtId="169" fontId="15" fillId="0" borderId="0" xfId="1" applyNumberFormat="1"/>
    <xf numFmtId="170" fontId="15" fillId="0" borderId="0" xfId="1" applyNumberFormat="1"/>
    <xf numFmtId="0" fontId="15" fillId="3" borderId="1" xfId="1" applyFill="1" applyBorder="1"/>
    <xf numFmtId="1" fontId="15" fillId="2" borderId="1" xfId="1" applyNumberFormat="1" applyFill="1" applyBorder="1"/>
    <xf numFmtId="2" fontId="15" fillId="3" borderId="1" xfId="1" applyNumberFormat="1" applyFill="1" applyBorder="1"/>
    <xf numFmtId="1" fontId="15" fillId="3" borderId="1" xfId="1" applyNumberFormat="1" applyFill="1" applyBorder="1"/>
    <xf numFmtId="165" fontId="15" fillId="3" borderId="1" xfId="1" applyNumberFormat="1" applyFill="1" applyBorder="1"/>
    <xf numFmtId="0" fontId="15" fillId="5" borderId="0" xfId="1" applyFill="1"/>
    <xf numFmtId="0" fontId="15" fillId="5" borderId="1" xfId="1" applyFill="1" applyBorder="1"/>
    <xf numFmtId="1" fontId="17" fillId="2" borderId="1" xfId="1" applyNumberFormat="1" applyFont="1" applyFill="1" applyBorder="1"/>
    <xf numFmtId="0" fontId="20" fillId="5" borderId="0" xfId="1" applyFont="1" applyFill="1"/>
    <xf numFmtId="0" fontId="12" fillId="5" borderId="0" xfId="1" applyFont="1" applyFill="1"/>
    <xf numFmtId="1" fontId="20" fillId="5" borderId="0" xfId="1" applyNumberFormat="1" applyFont="1" applyFill="1"/>
    <xf numFmtId="2" fontId="20" fillId="5" borderId="0" xfId="1" applyNumberFormat="1" applyFont="1" applyFill="1"/>
    <xf numFmtId="164" fontId="20" fillId="5" borderId="0" xfId="1" applyNumberFormat="1" applyFont="1" applyFill="1"/>
    <xf numFmtId="166" fontId="15" fillId="4" borderId="1" xfId="1" applyNumberFormat="1" applyFill="1" applyBorder="1"/>
    <xf numFmtId="0" fontId="24" fillId="0" borderId="0" xfId="0" applyFont="1"/>
    <xf numFmtId="0" fontId="25" fillId="0" borderId="0" xfId="1" applyFont="1"/>
    <xf numFmtId="1" fontId="15" fillId="0" borderId="0" xfId="1" applyNumberFormat="1"/>
    <xf numFmtId="0" fontId="11" fillId="0" borderId="0" xfId="1" applyFont="1"/>
    <xf numFmtId="166" fontId="15" fillId="3" borderId="1" xfId="1" applyNumberFormat="1" applyFill="1" applyBorder="1"/>
    <xf numFmtId="0" fontId="11" fillId="0" borderId="0" xfId="0" applyFont="1"/>
    <xf numFmtId="0" fontId="22" fillId="0" borderId="0" xfId="1" applyFont="1"/>
    <xf numFmtId="0" fontId="32" fillId="0" borderId="0" xfId="1" applyFont="1"/>
    <xf numFmtId="2" fontId="11" fillId="0" borderId="0" xfId="1" applyNumberFormat="1" applyFont="1"/>
    <xf numFmtId="0" fontId="11" fillId="0" borderId="0" xfId="1" applyFont="1" applyAlignment="1">
      <alignment horizontal="center"/>
    </xf>
    <xf numFmtId="0" fontId="20" fillId="0" borderId="0" xfId="0" applyFont="1"/>
    <xf numFmtId="1" fontId="11" fillId="0" borderId="0" xfId="0" applyNumberFormat="1" applyFont="1"/>
    <xf numFmtId="0" fontId="32" fillId="0" borderId="0" xfId="0" applyFont="1"/>
    <xf numFmtId="164" fontId="11" fillId="0" borderId="0" xfId="0" applyNumberFormat="1" applyFont="1"/>
    <xf numFmtId="2" fontId="11" fillId="0" borderId="0" xfId="0" applyNumberFormat="1" applyFont="1"/>
    <xf numFmtId="0" fontId="22" fillId="0" borderId="0" xfId="0" applyFont="1"/>
    <xf numFmtId="167" fontId="11" fillId="0" borderId="0" xfId="0" applyNumberFormat="1" applyFont="1"/>
    <xf numFmtId="0" fontId="33" fillId="0" borderId="0" xfId="0" applyFont="1"/>
    <xf numFmtId="165" fontId="11" fillId="0" borderId="0" xfId="0" applyNumberFormat="1" applyFont="1"/>
    <xf numFmtId="166" fontId="11" fillId="0" borderId="0" xfId="0" applyNumberFormat="1" applyFont="1"/>
    <xf numFmtId="0" fontId="10" fillId="0" borderId="0" xfId="1" applyFont="1"/>
    <xf numFmtId="0" fontId="9" fillId="0" borderId="0" xfId="1" applyFont="1"/>
    <xf numFmtId="0" fontId="27" fillId="6" borderId="0" xfId="2" applyFont="1" applyFill="1"/>
    <xf numFmtId="0" fontId="30" fillId="6" borderId="0" xfId="2" applyFont="1" applyFill="1"/>
    <xf numFmtId="0" fontId="27" fillId="6" borderId="0" xfId="2" applyFont="1" applyFill="1" applyAlignment="1">
      <alignment horizontal="left"/>
    </xf>
    <xf numFmtId="0" fontId="31" fillId="6" borderId="0" xfId="2" applyFont="1" applyFill="1"/>
    <xf numFmtId="0" fontId="0" fillId="6" borderId="0" xfId="0" applyFill="1"/>
    <xf numFmtId="0" fontId="27" fillId="6" borderId="0" xfId="1" applyFont="1" applyFill="1" applyAlignment="1">
      <alignment horizontal="left"/>
    </xf>
    <xf numFmtId="0" fontId="21" fillId="6" borderId="0" xfId="2" applyFont="1" applyFill="1" applyAlignment="1">
      <alignment horizontal="left"/>
    </xf>
    <xf numFmtId="0" fontId="28" fillId="6" borderId="0" xfId="2" applyFont="1" applyFill="1"/>
    <xf numFmtId="0" fontId="29" fillId="6" borderId="0" xfId="2" applyFont="1" applyFill="1" applyAlignment="1">
      <alignment horizontal="left"/>
    </xf>
    <xf numFmtId="0" fontId="29" fillId="6" borderId="0" xfId="0" applyFont="1" applyFill="1" applyAlignment="1">
      <alignment horizontal="left" vertical="center"/>
    </xf>
    <xf numFmtId="0" fontId="29" fillId="6" borderId="0" xfId="2" applyFont="1" applyFill="1"/>
    <xf numFmtId="0" fontId="29" fillId="6" borderId="0" xfId="0" applyFont="1" applyFill="1"/>
    <xf numFmtId="0" fontId="21" fillId="6" borderId="0" xfId="0" applyFont="1" applyFill="1"/>
    <xf numFmtId="0" fontId="27" fillId="6" borderId="0" xfId="0" applyFont="1" applyFill="1"/>
    <xf numFmtId="0" fontId="29" fillId="6" borderId="0" xfId="1" applyFont="1" applyFill="1"/>
    <xf numFmtId="0" fontId="27" fillId="6" borderId="11" xfId="2" applyFont="1" applyFill="1" applyBorder="1"/>
    <xf numFmtId="0" fontId="27" fillId="6" borderId="12" xfId="2" applyFont="1" applyFill="1" applyBorder="1"/>
    <xf numFmtId="0" fontId="27" fillId="6" borderId="13" xfId="2" applyFont="1" applyFill="1" applyBorder="1"/>
    <xf numFmtId="0" fontId="27" fillId="6" borderId="14" xfId="2" applyFont="1" applyFill="1" applyBorder="1"/>
    <xf numFmtId="0" fontId="28" fillId="6" borderId="14" xfId="2" applyFont="1" applyFill="1" applyBorder="1"/>
    <xf numFmtId="0" fontId="27" fillId="6" borderId="15" xfId="2" applyFont="1" applyFill="1" applyBorder="1"/>
    <xf numFmtId="0" fontId="27" fillId="6" borderId="18" xfId="2" applyFont="1" applyFill="1" applyBorder="1"/>
    <xf numFmtId="0" fontId="27" fillId="6" borderId="16" xfId="2" applyFont="1" applyFill="1" applyBorder="1"/>
    <xf numFmtId="0" fontId="27" fillId="6" borderId="10" xfId="2" applyFont="1" applyFill="1" applyBorder="1"/>
    <xf numFmtId="0" fontId="28" fillId="6" borderId="10" xfId="2" applyFont="1" applyFill="1" applyBorder="1"/>
    <xf numFmtId="0" fontId="27" fillId="6" borderId="17" xfId="2" applyFont="1" applyFill="1" applyBorder="1"/>
    <xf numFmtId="0" fontId="27" fillId="6" borderId="1" xfId="2" applyFont="1" applyFill="1" applyBorder="1"/>
    <xf numFmtId="0" fontId="13" fillId="6" borderId="0" xfId="2" applyFill="1"/>
    <xf numFmtId="0" fontId="18" fillId="6" borderId="0" xfId="2" applyFont="1" applyFill="1"/>
    <xf numFmtId="0" fontId="19" fillId="6" borderId="0" xfId="0" applyFont="1" applyFill="1"/>
    <xf numFmtId="0" fontId="30" fillId="6" borderId="0" xfId="0" applyFont="1" applyFill="1"/>
    <xf numFmtId="0" fontId="18" fillId="6" borderId="0" xfId="0" applyFont="1" applyFill="1"/>
    <xf numFmtId="0" fontId="29" fillId="2" borderId="0" xfId="1" applyFont="1" applyFill="1"/>
    <xf numFmtId="0" fontId="8" fillId="0" borderId="0" xfId="0" applyFont="1"/>
    <xf numFmtId="0" fontId="8" fillId="0" borderId="0" xfId="1" applyFont="1"/>
    <xf numFmtId="0" fontId="7" fillId="0" borderId="0" xfId="0" applyFont="1"/>
    <xf numFmtId="0" fontId="27" fillId="0" borderId="0" xfId="2" applyFont="1"/>
    <xf numFmtId="0" fontId="21" fillId="0" borderId="0" xfId="2" applyFont="1" applyAlignment="1">
      <alignment horizontal="left"/>
    </xf>
    <xf numFmtId="0" fontId="21" fillId="0" borderId="0" xfId="2" applyFont="1"/>
    <xf numFmtId="0" fontId="31" fillId="6" borderId="0" xfId="0" applyFont="1" applyFill="1"/>
    <xf numFmtId="0" fontId="37" fillId="6" borderId="0" xfId="0" applyFont="1" applyFill="1"/>
    <xf numFmtId="0" fontId="21" fillId="6" borderId="0" xfId="2" applyFont="1" applyFill="1"/>
    <xf numFmtId="0" fontId="36" fillId="6" borderId="0" xfId="2" applyFont="1" applyFill="1" applyAlignment="1">
      <alignment horizontal="left"/>
    </xf>
    <xf numFmtId="0" fontId="38" fillId="6" borderId="0" xfId="0" applyFont="1" applyFill="1"/>
    <xf numFmtId="0" fontId="25" fillId="6" borderId="0" xfId="2" applyFont="1" applyFill="1"/>
    <xf numFmtId="0" fontId="29" fillId="0" borderId="0" xfId="1" applyFont="1"/>
    <xf numFmtId="0" fontId="6" fillId="5" borderId="0" xfId="1" applyFont="1" applyFill="1"/>
    <xf numFmtId="0" fontId="6" fillId="0" borderId="0" xfId="0" applyFont="1"/>
    <xf numFmtId="0" fontId="5" fillId="0" borderId="0" xfId="1" applyFont="1"/>
    <xf numFmtId="2" fontId="0" fillId="2" borderId="1" xfId="0" applyNumberFormat="1" applyFill="1" applyBorder="1"/>
    <xf numFmtId="0" fontId="4" fillId="0" borderId="0" xfId="1" applyFont="1"/>
    <xf numFmtId="168" fontId="3" fillId="4" borderId="1" xfId="1" applyNumberFormat="1" applyFont="1" applyFill="1" applyBorder="1"/>
    <xf numFmtId="0" fontId="2" fillId="0" borderId="0" xfId="0" applyFont="1"/>
    <xf numFmtId="11" fontId="11" fillId="0" borderId="0" xfId="0" applyNumberFormat="1" applyFont="1"/>
    <xf numFmtId="0" fontId="40" fillId="0" borderId="0" xfId="0" applyFont="1"/>
  </cellXfs>
  <cellStyles count="3">
    <cellStyle name="Normal" xfId="0" builtinId="0"/>
    <cellStyle name="Normal 2" xfId="1" xr:uid="{5EA31C98-9EB5-4703-81A9-D6AC0893330C}"/>
    <cellStyle name="Normal 3" xfId="2" xr:uid="{A2EE5FED-EB15-0945-994C-EAC628C192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403106</xdr:colOff>
      <xdr:row>42</xdr:row>
      <xdr:rowOff>38100</xdr:rowOff>
    </xdr:from>
    <xdr:ext cx="2400977" cy="4295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7235236" y="10233378"/>
              <a:ext cx="2400977" cy="4295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𝑅𝑔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</m:rad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𝑓𝑐</m:t>
                            </m:r>
                          </m:sub>
                        </m:sSub>
                      </m:den>
                    </m:f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sub>
                              <m:sup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e>
                        </m:d>
                      </m:e>
                      <m: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sup>
                    </m:s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7235236" y="10233378"/>
              <a:ext cx="2400977" cy="4295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𝑄_(𝑠,𝑗)=√(𝑅𝑔𝑑_𝑠 ) 𝑑_𝑠 𝐵_𝑐  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400" b="0" i="0">
                  <a:latin typeface="Cambria Math" panose="02040503050406030204" pitchFamily="18" charset="0"/>
                </a:rPr>
                <a:t>𝐸𝐻/𝐶_𝑓𝑐  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400" b="0" i="0">
                  <a:latin typeface="Cambria Math" panose="02040503050406030204" pitchFamily="18" charset="0"/>
                </a:rPr>
                <a:t>𝑗^∗ )^(𝑛_𝐸𝐻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6</xdr:col>
      <xdr:colOff>93604</xdr:colOff>
      <xdr:row>22</xdr:row>
      <xdr:rowOff>4232</xdr:rowOff>
    </xdr:from>
    <xdr:ext cx="959302" cy="2369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5103048" y="5260621"/>
              <a:ext cx="959302" cy="236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𝑓𝑐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Sup>
                          <m:sSub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𝑧𝑐</m:t>
                            </m:r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97131BC-B16A-C643-A5AC-3A03FD5DB157}"/>
                </a:ext>
              </a:extLst>
            </xdr:cNvPr>
            <xdr:cNvSpPr txBox="1"/>
          </xdr:nvSpPr>
          <xdr:spPr>
            <a:xfrm>
              <a:off x="5103048" y="5260621"/>
              <a:ext cx="959302" cy="236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𝐶_𝑓𝑐=1∕𝐶_𝑧𝑐^2 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15</xdr:col>
      <xdr:colOff>54568</xdr:colOff>
      <xdr:row>44</xdr:row>
      <xdr:rowOff>132178</xdr:rowOff>
    </xdr:from>
    <xdr:ext cx="1172757" cy="2696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578179" y="8104956"/>
              <a:ext cx="1172757" cy="269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sSubSup>
                      <m:sSub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</m:sup>
                    </m:sSub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596A68B-3A2E-754C-8E0D-DE988D95581E}"/>
                </a:ext>
              </a:extLst>
            </xdr:cNvPr>
            <xdr:cNvSpPr txBox="1"/>
          </xdr:nvSpPr>
          <xdr:spPr>
            <a:xfrm>
              <a:off x="12578179" y="8104956"/>
              <a:ext cx="1172757" cy="269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𝐺_(𝑚,𝑗)=𝑎_𝑚 𝑄_(𝑤,𝑗)^(𝑛_𝑚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8</xdr:col>
      <xdr:colOff>54329</xdr:colOff>
      <xdr:row>47</xdr:row>
      <xdr:rowOff>24930</xdr:rowOff>
    </xdr:from>
    <xdr:ext cx="1638462" cy="4690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6733588" y="4963819"/>
              <a:ext cx="1638462" cy="469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𝑝𝑏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b>
                        </m:sSub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𝑎𝑣</m:t>
                            </m:r>
                          </m:sub>
                        </m:sSub>
                      </m:num>
                      <m:den>
                        <m:nary>
                          <m:naryPr>
                            <m:chr m:val="∑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=1</m:t>
                            </m:r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𝛽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𝑄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𝑎𝑣</m:t>
                                </m:r>
                              </m:sub>
                            </m:sSub>
                          </m:e>
                        </m:nary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F24C6494-C7F9-A947-8ED1-A28702120EDC}"/>
                </a:ext>
              </a:extLst>
            </xdr:cNvPr>
            <xdr:cNvSpPr txBox="1"/>
          </xdr:nvSpPr>
          <xdr:spPr>
            <a:xfrm>
              <a:off x="6733588" y="4963819"/>
              <a:ext cx="1638462" cy="469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𝐹_(𝑝𝑏,𝑘)=(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</a:t>
              </a:r>
              <a:r>
                <a:rPr lang="en-US" sz="1400" b="0" i="0">
                  <a:latin typeface="Cambria Math" panose="02040503050406030204" pitchFamily="18" charset="0"/>
                </a:rPr>
                <a:t>𝑘 𝑄_(𝑘,𝑎𝑣))/(∑24_(𝑘=1)^2▒〖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</a:t>
              </a:r>
              <a:r>
                <a:rPr lang="en-US" sz="1400" b="0" i="0">
                  <a:latin typeface="Cambria Math" panose="02040503050406030204" pitchFamily="18" charset="0"/>
                </a:rPr>
                <a:t>𝑘 𝑄_(𝑘,𝑎𝑣) 〗)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4</xdr:col>
      <xdr:colOff>77845</xdr:colOff>
      <xdr:row>39</xdr:row>
      <xdr:rowOff>24931</xdr:rowOff>
    </xdr:from>
    <xdr:ext cx="113069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3570345" y="9479375"/>
              <a:ext cx="11306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570345" y="9479375"/>
              <a:ext cx="11306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𝜏^</a:t>
              </a:r>
              <a:r>
                <a:rPr lang="en-US" sz="1400" b="0" i="0">
                  <a:latin typeface="Cambria Math" panose="02040503050406030204" pitchFamily="18" charset="0"/>
                </a:rPr>
                <a:t>∗=〖𝐻_𝑐 𝑆〗∕〖𝑅𝑑_𝑠 〗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6</xdr:col>
      <xdr:colOff>101365</xdr:colOff>
      <xdr:row>54</xdr:row>
      <xdr:rowOff>24929</xdr:rowOff>
    </xdr:from>
    <xdr:ext cx="660950" cy="233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5110809" y="10467151"/>
              <a:ext cx="660950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l-G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Ω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𝑆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2C60E3F5-345F-2F4D-8355-DDBB807CB330}"/>
                </a:ext>
              </a:extLst>
            </xdr:cNvPr>
            <xdr:cNvSpPr txBox="1"/>
          </xdr:nvSpPr>
          <xdr:spPr>
            <a:xfrm>
              <a:off x="5110809" y="10467151"/>
              <a:ext cx="660950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𝑆_𝑓=</a:t>
              </a:r>
              <a:r>
                <a:rPr lang="el-G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Ω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136643</xdr:colOff>
      <xdr:row>59</xdr:row>
      <xdr:rowOff>24931</xdr:rowOff>
    </xdr:from>
    <xdr:ext cx="1424108" cy="4714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0308402" y="14418264"/>
              <a:ext cx="1424108" cy="471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𝐹𝑙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0308402" y="14418264"/>
              <a:ext cx="1424108" cy="471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𝐷_(𝑓,𝑘)=〖𝐹𝑙〗_𝑘  𝑄_(𝑤,𝑓)/𝐵_𝑓  𝐶_𝑘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289515</xdr:colOff>
      <xdr:row>34</xdr:row>
      <xdr:rowOff>24929</xdr:rowOff>
    </xdr:from>
    <xdr:ext cx="1293880" cy="465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0461274" y="7997707"/>
              <a:ext cx="1293880" cy="465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622E53A5-14C7-1A44-B4C8-B011A83450A8}"/>
                </a:ext>
              </a:extLst>
            </xdr:cNvPr>
            <xdr:cNvSpPr txBox="1"/>
          </xdr:nvSpPr>
          <xdr:spPr>
            <a:xfrm>
              <a:off x="10461274" y="7997707"/>
              <a:ext cx="1293880" cy="465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𝐶_𝑚=𝑄_𝑚/(𝑄_𝑤−𝑄_(𝑤,𝑓)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14</xdr:col>
      <xdr:colOff>254246</xdr:colOff>
      <xdr:row>33</xdr:row>
      <xdr:rowOff>13170</xdr:rowOff>
    </xdr:from>
    <xdr:ext cx="1513428" cy="71404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2095820" y="7739003"/>
              <a:ext cx="1513428" cy="7140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limLoc m:val="undOvr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m:rPr>
                                <m:brk m:alnAt="24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/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𝑐𝑜𝑛𝑐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nary>
                      </m:num>
                      <m:den>
                        <m:nary>
                          <m:naryPr>
                            <m:limLoc m:val="undOvr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m:rPr>
                                <m:brk m:alnAt="24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/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E3F67A7-8237-C144-9188-77CF7C99D2EF}"/>
                </a:ext>
              </a:extLst>
            </xdr:cNvPr>
            <xdr:cNvSpPr txBox="1"/>
          </xdr:nvSpPr>
          <xdr:spPr>
            <a:xfrm>
              <a:off x="12095820" y="7739003"/>
              <a:ext cx="1513428" cy="7140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𝐶_𝑠=(∫25_(𝐿_𝑓/𝐻_𝑐)^1▒〖𝑐𝑜𝑛𝑐 𝑑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𝜁〗)/(∫1_(</a:t>
              </a:r>
              <a:r>
                <a:rPr lang="en-US" sz="1400" b="0" i="0">
                  <a:latin typeface="Cambria Math" panose="02040503050406030204" pitchFamily="18" charset="0"/>
                </a:rPr>
                <a:t>𝐿_𝑓/𝐻_𝑐)^1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400" b="0" i="0">
                  <a:latin typeface="Cambria Math" panose="02040503050406030204" pitchFamily="18" charset="0"/>
                </a:rPr>
                <a:t>𝑑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16</xdr:col>
      <xdr:colOff>489419</xdr:colOff>
      <xdr:row>33</xdr:row>
      <xdr:rowOff>71966</xdr:rowOff>
    </xdr:from>
    <xdr:ext cx="1895391" cy="5957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4000808" y="7797799"/>
              <a:ext cx="1895391" cy="595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𝑐𝑜𝑛𝑐</m:t>
                        </m:r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f>
                                  <m:fPr>
                                    <m:type m:val="lin"/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d>
                                      <m:d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1−</m:t>
                                        </m:r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</m:d>
                                  </m:num>
                                  <m:den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𝜁</m:t>
                                    </m:r>
                                  </m:den>
                                </m:f>
                              </m:num>
                              <m:den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1−</m:t>
                                    </m:r>
                                    <m:sSub>
                                      <m:sSub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</m:e>
                                </m:d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/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𝑏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𝑣𝑠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𝜅</m:t>
                            </m:r>
                            <m:sSup>
                              <m:s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𝑢</m:t>
                                </m:r>
                              </m:e>
                              <m:sup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001222E-273C-EB46-9A97-AA0D589D9818}"/>
                </a:ext>
              </a:extLst>
            </xdr:cNvPr>
            <xdr:cNvSpPr txBox="1"/>
          </xdr:nvSpPr>
          <xdr:spPr>
            <a:xfrm>
              <a:off x="14000808" y="7797799"/>
              <a:ext cx="1895391" cy="595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𝑐𝑜𝑛𝑐/𝑐_(𝑏,𝑠) =[((1−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𝜁)∕𝜁)/((</a:t>
              </a:r>
              <a:r>
                <a:rPr lang="en-US" sz="1400" b="0" i="0">
                  <a:latin typeface="Cambria Math" panose="02040503050406030204" pitchFamily="18" charset="0"/>
                </a:rPr>
                <a:t>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)/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)]^(〖𝑣𝑠〗_(,𝑠)/(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𝜅𝑢^∗ ))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77846</xdr:colOff>
      <xdr:row>30</xdr:row>
      <xdr:rowOff>24929</xdr:rowOff>
    </xdr:from>
    <xdr:ext cx="1164934" cy="441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10249605" y="7009929"/>
              <a:ext cx="1164934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4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𝜅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p>
                          <m:s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e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𝐼</m:t>
                        </m:r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17999829-B049-D84D-8656-706C770BE8A7}"/>
                </a:ext>
              </a:extLst>
            </xdr:cNvPr>
            <xdr:cNvSpPr txBox="1"/>
          </xdr:nvSpPr>
          <xdr:spPr>
            <a:xfrm>
              <a:off x="10249605" y="7009929"/>
              <a:ext cx="1164934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𝑐_(𝑏,𝑠)=(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𝜅𝑄_𝑠)/(</a:t>
              </a:r>
              <a:r>
                <a:rPr lang="en-US" sz="1400" b="0" i="0">
                  <a:latin typeface="Cambria Math" panose="02040503050406030204" pitchFamily="18" charset="0"/>
                </a:rPr>
                <a:t>𝐵_𝑐 𝑢^∗ 𝐻_𝑐 𝐼)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14</xdr:col>
      <xdr:colOff>218952</xdr:colOff>
      <xdr:row>29</xdr:row>
      <xdr:rowOff>24929</xdr:rowOff>
    </xdr:from>
    <xdr:ext cx="2979790" cy="6992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12060526" y="6762985"/>
              <a:ext cx="2979790" cy="6992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𝐼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limLoc m:val="undOvr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f>
                                      <m:fPr>
                                        <m:type m:val="lin"/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d>
                                          <m:dPr>
                                            <m:ctrlP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  <m:t>1−</m:t>
                                            </m:r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𝜁</m:t>
                                            </m:r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den>
                                    </m:f>
                                  </m:num>
                                  <m:den>
                                    <m:d>
                                      <m:d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1−</m:t>
                                        </m:r>
                                        <m:sSub>
                                          <m:sSubPr>
                                            <m:ctrlP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𝜁</m:t>
                                            </m:r>
                                          </m:e>
                                          <m:sub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  <m:t>𝑏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/</m:t>
                                    </m:r>
                                    <m:sSub>
                                      <m:sSub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  <m:sup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𝑣𝑠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𝑠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𝜅</m:t>
                                </m:r>
                                <m:sSup>
                                  <m:sSup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𝑢</m:t>
                                    </m:r>
                                  </m:e>
                                  <m:sup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∗</m:t>
                                    </m:r>
                                  </m:sup>
                                </m:sSup>
                              </m:den>
                            </m:f>
                          </m:sup>
                        </m:s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𝑙𝑛</m:t>
                        </m:r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30</m:t>
                            </m:r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𝐻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d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</m:nary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71732A0-2D93-DC4F-8DF6-F686FFC41013}"/>
                </a:ext>
              </a:extLst>
            </xdr:cNvPr>
            <xdr:cNvSpPr txBox="1"/>
          </xdr:nvSpPr>
          <xdr:spPr>
            <a:xfrm>
              <a:off x="12060526" y="6762985"/>
              <a:ext cx="2979790" cy="6992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𝐼=∫25_(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𝑏)^1▒〖[((1−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𝜁)∕𝜁)/((</a:t>
              </a:r>
              <a:r>
                <a:rPr lang="en-US" sz="1400" b="0" i="0">
                  <a:latin typeface="Cambria Math" panose="02040503050406030204" pitchFamily="18" charset="0"/>
                </a:rPr>
                <a:t>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)/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)]^(〖𝑣𝑠〗_(,𝑠)/(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𝜅𝑢^∗ )) 𝑙𝑛(30 𝐻_𝑐/𝑘_𝑐  𝜁)𝑑𝜁〗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7</xdr:col>
      <xdr:colOff>148401</xdr:colOff>
      <xdr:row>90</xdr:row>
      <xdr:rowOff>130765</xdr:rowOff>
    </xdr:from>
    <xdr:ext cx="1390252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 txBox="1"/>
          </xdr:nvSpPr>
          <xdr:spPr>
            <a:xfrm>
              <a:off x="6145623" y="21932432"/>
              <a:ext cx="1390252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4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400" b="0" i="0">
                        <a:latin typeface="Cambria Math" panose="02040503050406030204" pitchFamily="18" charset="0"/>
                      </a:rPr>
                      <m:t>=0.5</m:t>
                    </m:r>
                    <m:d>
                      <m:dPr>
                        <m:begChr m:val="|"/>
                        <m:endChr m:val="|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4085F294-B65A-CF44-B34B-41B8459F0A42}"/>
                </a:ext>
              </a:extLst>
            </xdr:cNvPr>
            <xdr:cNvSpPr txBox="1"/>
          </xdr:nvSpPr>
          <xdr:spPr>
            <a:xfrm>
              <a:off x="6145623" y="21932432"/>
              <a:ext cx="1390252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c=0.5|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𝑏1+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𝑏2 |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9</xdr:col>
      <xdr:colOff>336550</xdr:colOff>
      <xdr:row>90</xdr:row>
      <xdr:rowOff>24929</xdr:rowOff>
    </xdr:from>
    <xdr:ext cx="1251496" cy="40902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 txBox="1"/>
          </xdr:nvSpPr>
          <xdr:spPr>
            <a:xfrm>
              <a:off x="8003587" y="21826596"/>
              <a:ext cx="1251496" cy="4090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𝑑𝑡</m:t>
                        </m:r>
                      </m:den>
                    </m:f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EF9C799C-D375-1248-8793-45AC6B0F6C78}"/>
                </a:ext>
              </a:extLst>
            </xdr:cNvPr>
            <xdr:cNvSpPr txBox="1"/>
          </xdr:nvSpPr>
          <xdr:spPr>
            <a:xfrm>
              <a:off x="8003587" y="21826596"/>
              <a:ext cx="1251496" cy="4090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</a:rPr>
                <a:t>(</a:t>
              </a:r>
              <a:r>
                <a:rPr lang="en-US" sz="1400" b="0" i="0">
                  <a:latin typeface="Cambria Math" panose="02040503050406030204" pitchFamily="18" charset="0"/>
                </a:rPr>
                <a:t>𝑑𝐵_𝑐)/𝑑𝑡=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𝑏2−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𝑏1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11</xdr:col>
      <xdr:colOff>207197</xdr:colOff>
      <xdr:row>92</xdr:row>
      <xdr:rowOff>36688</xdr:rowOff>
    </xdr:from>
    <xdr:ext cx="1421608" cy="4480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9544049" y="22579188"/>
              <a:ext cx="1421608" cy="4480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𝑝𝑏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begChr m:val="|"/>
                            <m:endChr m:val="|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𝑆𝑐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𝑓𝑎𝑐𝑡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 txBox="1"/>
          </xdr:nvSpPr>
          <xdr:spPr>
            <a:xfrm>
              <a:off x="9544049" y="22579188"/>
              <a:ext cx="1421608" cy="4480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𝐻_𝑝𝑏=(|〖𝑆𝑐〗_𝑓𝑎𝑐𝑡 | 𝐿_𝑓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𝜎)/</a:t>
              </a:r>
              <a:r>
                <a:rPr lang="en-US" sz="1400" b="0" i="0">
                  <a:latin typeface="Cambria Math" panose="02040503050406030204" pitchFamily="18" charset="0"/>
                </a:rPr>
                <a:t>2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13</xdr:col>
      <xdr:colOff>830439</xdr:colOff>
      <xdr:row>92</xdr:row>
      <xdr:rowOff>142522</xdr:rowOff>
    </xdr:from>
    <xdr:ext cx="1161087" cy="233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11837106" y="22438078"/>
              <a:ext cx="1161087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𝜂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𝑝𝑏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2C72E2EF-7189-7C49-9A4D-B2EF58356325}"/>
                </a:ext>
              </a:extLst>
            </xdr:cNvPr>
            <xdr:cNvSpPr txBox="1"/>
          </xdr:nvSpPr>
          <xdr:spPr>
            <a:xfrm>
              <a:off x="11837106" y="22438078"/>
              <a:ext cx="1161087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∆𝜂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=𝐿_𝑓−𝐻_𝑝𝑏</a:t>
              </a:r>
              <a:endParaRPr lang="en-US" sz="1400"/>
            </a:p>
          </xdr:txBody>
        </xdr:sp>
      </mc:Fallback>
    </mc:AlternateContent>
    <xdr:clientData/>
  </xdr:oneCellAnchor>
  <xdr:twoCellAnchor editAs="oneCell">
    <xdr:from>
      <xdr:col>7</xdr:col>
      <xdr:colOff>11759</xdr:colOff>
      <xdr:row>5</xdr:row>
      <xdr:rowOff>35277</xdr:rowOff>
    </xdr:from>
    <xdr:to>
      <xdr:col>12</xdr:col>
      <xdr:colOff>421922</xdr:colOff>
      <xdr:row>14</xdr:row>
      <xdr:rowOff>124177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8981" y="1340555"/>
          <a:ext cx="4584700" cy="2311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16698</xdr:colOff>
      <xdr:row>22</xdr:row>
      <xdr:rowOff>63878</xdr:rowOff>
    </xdr:from>
    <xdr:ext cx="1605055" cy="6237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852540" y="5345066"/>
              <a:ext cx="1605055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852540" y="5345066"/>
              <a:ext cx="1605055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𝐻_𝑐=((𝐶_(𝑓,𝑐) 𝑄_𝑤^2)/(𝐵_𝑐^2 𝑔𝑆))^(1/3)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19766</xdr:colOff>
      <xdr:row>29</xdr:row>
      <xdr:rowOff>117469</xdr:rowOff>
    </xdr:from>
    <xdr:ext cx="1716111" cy="6237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855608" y="6354301"/>
              <a:ext cx="1716111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855608" y="6354301"/>
              <a:ext cx="1716111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𝐻_𝑐=((𝐶_(𝑓,𝑐) 𝑄_(𝑤,𝑐)^2)/(𝐵_𝑐^2 𝑔𝑆))^(1/3)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759460</xdr:colOff>
      <xdr:row>29</xdr:row>
      <xdr:rowOff>99061</xdr:rowOff>
    </xdr:from>
    <xdr:ext cx="1730922" cy="6524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4280252" y="6335893"/>
              <a:ext cx="1730922" cy="6524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</m:t>
                                </m:r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4280252" y="6335893"/>
              <a:ext cx="1730922" cy="6524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𝐻_𝑓=((𝐶_(𝑓,𝑐) 𝑄_(𝑤,𝑓)^2)/(𝐵_𝑐^2 𝑔𝑆_𝑓 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15189</xdr:colOff>
      <xdr:row>34</xdr:row>
      <xdr:rowOff>201188</xdr:rowOff>
    </xdr:from>
    <xdr:ext cx="1211165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851031" y="7632574"/>
              <a:ext cx="121116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851031" y="7632574"/>
              <a:ext cx="121116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𝐻_𝑐=𝐿_𝑓+𝐻_𝑓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260941</xdr:colOff>
      <xdr:row>34</xdr:row>
      <xdr:rowOff>160649</xdr:rowOff>
    </xdr:from>
    <xdr:ext cx="1595244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3781733" y="7592035"/>
              <a:ext cx="1595244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3781733" y="7592035"/>
              <a:ext cx="1595244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𝑄_𝑤=𝑄_(𝑤,𝑐)+𝑄_(𝑤,𝑓)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37723</xdr:colOff>
      <xdr:row>19</xdr:row>
      <xdr:rowOff>75446</xdr:rowOff>
    </xdr:from>
    <xdr:ext cx="958980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873565" y="4639901"/>
              <a:ext cx="958980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6EFC425F-B221-654E-B585-A0CEE2BB22B6}"/>
                </a:ext>
              </a:extLst>
            </xdr:cNvPr>
            <xdr:cNvSpPr txBox="1"/>
          </xdr:nvSpPr>
          <xdr:spPr>
            <a:xfrm>
              <a:off x="1873565" y="4639901"/>
              <a:ext cx="958980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𝑄_(𝑤,𝑐)=𝑄_𝑤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603564</xdr:colOff>
      <xdr:row>19</xdr:row>
      <xdr:rowOff>88020</xdr:rowOff>
    </xdr:from>
    <xdr:ext cx="819070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3281881" y="4652475"/>
              <a:ext cx="819070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354A54E-2BFE-2A45-8D05-70D19DA06738}"/>
                </a:ext>
              </a:extLst>
            </xdr:cNvPr>
            <xdr:cNvSpPr txBox="1"/>
          </xdr:nvSpPr>
          <xdr:spPr>
            <a:xfrm>
              <a:off x="3281881" y="4652475"/>
              <a:ext cx="819070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𝑄_(𝑤,𝑓)=0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289207</xdr:colOff>
      <xdr:row>19</xdr:row>
      <xdr:rowOff>75445</xdr:rowOff>
    </xdr:from>
    <xdr:ext cx="654795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4652474" y="4639900"/>
              <a:ext cx="65479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1907101C-7D70-1049-8C10-D17C8315F86B}"/>
                </a:ext>
              </a:extLst>
            </xdr:cNvPr>
            <xdr:cNvSpPr txBox="1"/>
          </xdr:nvSpPr>
          <xdr:spPr>
            <a:xfrm>
              <a:off x="4652474" y="4639900"/>
              <a:ext cx="65479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𝐻_𝑓=0</a:t>
              </a:r>
              <a:endParaRPr lang="en-US" sz="1600"/>
            </a:p>
          </xdr:txBody>
        </xdr:sp>
      </mc:Fallback>
    </mc:AlternateContent>
    <xdr:clientData/>
  </xdr:oneCellAnchor>
  <xdr:twoCellAnchor editAs="oneCell">
    <xdr:from>
      <xdr:col>0</xdr:col>
      <xdr:colOff>289207</xdr:colOff>
      <xdr:row>2</xdr:row>
      <xdr:rowOff>201187</xdr:rowOff>
    </xdr:from>
    <xdr:to>
      <xdr:col>6</xdr:col>
      <xdr:colOff>441191</xdr:colOff>
      <xdr:row>15</xdr:row>
      <xdr:rowOff>176038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07" y="704157"/>
          <a:ext cx="5357727" cy="30806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834390</xdr:colOff>
      <xdr:row>5</xdr:row>
      <xdr:rowOff>215900</xdr:rowOff>
    </xdr:from>
    <xdr:ext cx="1698798" cy="727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834390" y="1475740"/>
              <a:ext cx="1698798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𝑔𝑆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den>
                        </m:f>
                      </m:e>
                    </m:rad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3/2</m:t>
                        </m:r>
                      </m:sup>
                    </m:sSub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EFB73DB-247C-1F49-B65C-17235DDE6BA5}"/>
                </a:ext>
              </a:extLst>
            </xdr:cNvPr>
            <xdr:cNvSpPr txBox="1"/>
          </xdr:nvSpPr>
          <xdr:spPr>
            <a:xfrm>
              <a:off x="834390" y="1475740"/>
              <a:ext cx="1698798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𝑄_𝑏𝑓=√(𝑔𝑆/𝐶_(𝑓,𝑐) ) 𝐵_𝑐 𝐿_𝑓^(3/2)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130810</xdr:colOff>
      <xdr:row>6</xdr:row>
      <xdr:rowOff>86360</xdr:rowOff>
    </xdr:from>
    <xdr:ext cx="939616" cy="5111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2813050" y="1590040"/>
              <a:ext cx="939616" cy="511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521C4EF-C395-6D4D-ACD9-7B9F6BBC1898}"/>
                </a:ext>
              </a:extLst>
            </xdr:cNvPr>
            <xdr:cNvSpPr txBox="1"/>
          </xdr:nvSpPr>
          <xdr:spPr>
            <a:xfrm>
              <a:off x="2813050" y="1590040"/>
              <a:ext cx="939616" cy="511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𝑏𝑓^∗=(𝐿_𝑓 𝑆)/(𝑅𝑑_𝑠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650240</xdr:colOff>
      <xdr:row>6</xdr:row>
      <xdr:rowOff>111760</xdr:rowOff>
    </xdr:from>
    <xdr:ext cx="1039387" cy="5389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4175760" y="1615440"/>
              <a:ext cx="1039387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9D471DC-F1E9-BF4B-ADED-0DA6F8DD23BC}"/>
                </a:ext>
              </a:extLst>
            </xdr:cNvPr>
            <xdr:cNvSpPr txBox="1"/>
          </xdr:nvSpPr>
          <xdr:spPr>
            <a:xfrm>
              <a:off x="4175760" y="1615440"/>
              <a:ext cx="1039387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𝑈_𝑏𝑓=𝑄_𝑏𝑓/(𝐵_𝑐 𝐿_𝑓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6</xdr:col>
      <xdr:colOff>345440</xdr:colOff>
      <xdr:row>6</xdr:row>
      <xdr:rowOff>101600</xdr:rowOff>
    </xdr:from>
    <xdr:ext cx="1186863" cy="5713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5557520" y="1605280"/>
              <a:ext cx="1186863" cy="5713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𝐹𝑟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𝑈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</m:sSub>
                      </m:num>
                      <m:den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</m:rad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635D93C6-DD67-A644-A0E6-EACD3B6789B6}"/>
                </a:ext>
              </a:extLst>
            </xdr:cNvPr>
            <xdr:cNvSpPr txBox="1"/>
          </xdr:nvSpPr>
          <xdr:spPr>
            <a:xfrm>
              <a:off x="5557520" y="1605280"/>
              <a:ext cx="1186863" cy="5713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i="0">
                  <a:latin typeface="Cambria Math" panose="02040503050406030204" pitchFamily="18" charset="0"/>
                </a:rPr>
                <a:t>〖</a:t>
              </a:r>
              <a:r>
                <a:rPr lang="en-US" sz="1600" b="0" i="0">
                  <a:latin typeface="Cambria Math" panose="02040503050406030204" pitchFamily="18" charset="0"/>
                </a:rPr>
                <a:t>𝐹𝑟〗_𝑏𝑓=𝑈_𝑏𝑓/√(𝑔𝐿_𝑓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406400</xdr:colOff>
      <xdr:row>59</xdr:row>
      <xdr:rowOff>121920</xdr:rowOff>
    </xdr:from>
    <xdr:ext cx="1440651" cy="5500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8991600" y="14284960"/>
              <a:ext cx="1440651" cy="5500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𝑅𝑅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12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el-G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Ω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2/3</m:t>
                            </m:r>
                          </m:sup>
                        </m:sSup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13</m:t>
                        </m:r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l-G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Ω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8991600" y="14284960"/>
              <a:ext cx="1440651" cy="5500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𝑅𝑅=(12𝐵_𝑐 </a:t>
              </a:r>
              <a:r>
                <a:rPr lang="el-GR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Ω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n-US" sz="1600" b="0" i="0">
                  <a:latin typeface="Cambria Math" panose="02040503050406030204" pitchFamily="18" charset="0"/>
                </a:rPr>
                <a:t>2/3))/(13√(</a:t>
              </a:r>
              <a:r>
                <a:rPr lang="el-GR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Ω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436880</xdr:colOff>
      <xdr:row>65</xdr:row>
      <xdr:rowOff>60960</xdr:rowOff>
    </xdr:from>
    <xdr:ext cx="827599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9022080" y="15707360"/>
              <a:ext cx="82759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=3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9022080" y="15707360"/>
              <a:ext cx="82759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𝑘_𝑠=3𝑑_𝑠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660400</xdr:colOff>
      <xdr:row>59</xdr:row>
      <xdr:rowOff>111760</xdr:rowOff>
    </xdr:from>
    <xdr:ext cx="819840" cy="4594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0932160" y="14274800"/>
              <a:ext cx="819840" cy="4594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𝑅𝑅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0932160" y="14274800"/>
              <a:ext cx="819840" cy="4594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r>
                <a:rPr lang="en-US" sz="1600" b="0" i="0">
                  <a:latin typeface="Cambria Math" panose="02040503050406030204" pitchFamily="18" charset="0"/>
                </a:rPr>
                <a:t>=𝐵_𝑐/2𝑅𝑅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314960</xdr:colOff>
      <xdr:row>88</xdr:row>
      <xdr:rowOff>193040</xdr:rowOff>
    </xdr:from>
    <xdr:ext cx="90800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8900160" y="21488400"/>
              <a:ext cx="9080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p>
                    <m:r>
                      <a:rPr lang="en-US" sz="1600" b="0" i="1">
                        <a:latin typeface="Cambria Math" panose="02040503050406030204" pitchFamily="18" charset="0"/>
                      </a:rPr>
                      <m:t>=5.88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8900160" y="21488400"/>
              <a:ext cx="9080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𝛽^</a:t>
              </a:r>
              <a:r>
                <a:rPr lang="en-US" sz="1600" b="0" i="0">
                  <a:latin typeface="Cambria Math" panose="02040503050406030204" pitchFamily="18" charset="0"/>
                </a:rPr>
                <a:t>∗=5.88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314960</xdr:colOff>
      <xdr:row>81</xdr:row>
      <xdr:rowOff>203200</xdr:rowOff>
    </xdr:from>
    <xdr:ext cx="1210588" cy="5659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8900160" y="19771360"/>
              <a:ext cx="1210588" cy="565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13</m:t>
                        </m:r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8900160" y="19771360"/>
              <a:ext cx="1210588" cy="565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1=1/(13√(𝐶_(𝑓,𝑐) 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365760</xdr:colOff>
      <xdr:row>81</xdr:row>
      <xdr:rowOff>182880</xdr:rowOff>
    </xdr:from>
    <xdr:ext cx="998671" cy="4626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0637520" y="19751040"/>
              <a:ext cx="998671" cy="4626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𝜒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0637520" y="19751040"/>
              <a:ext cx="998671" cy="4626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</a:t>
              </a:r>
              <a:r>
                <a:rPr lang="en-US" sz="1600" b="0" i="0">
                  <a:latin typeface="Cambria Math" panose="02040503050406030204" pitchFamily="18" charset="0"/>
                </a:rPr>
                <a:t>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1−1/3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345440</xdr:colOff>
      <xdr:row>85</xdr:row>
      <xdr:rowOff>40640</xdr:rowOff>
    </xdr:from>
    <xdr:ext cx="899413" cy="4619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8930640" y="20604480"/>
              <a:ext cx="899413" cy="4619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𝑏𝑒𝑑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8930640" y="20604480"/>
              <a:ext cx="899413" cy="4619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𝑇_𝑏𝑒𝑑=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𝜒/𝜒_</a:t>
              </a:r>
              <a:r>
                <a:rPr lang="en-US" sz="1600" b="0" i="0">
                  <a:latin typeface="Cambria Math" panose="02040503050406030204" pitchFamily="18" charset="0"/>
                </a:rPr>
                <a:t>1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14</xdr:col>
      <xdr:colOff>111760</xdr:colOff>
      <xdr:row>81</xdr:row>
      <xdr:rowOff>0</xdr:rowOff>
    </xdr:from>
    <xdr:ext cx="2286332" cy="6859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12070080" y="19568160"/>
              <a:ext cx="2286332" cy="6859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20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+</m:t>
                        </m:r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den>
                        </m:f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35</m:t>
                            </m:r>
                          </m:den>
                        </m:f>
                      </m:num>
                      <m:den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12070080" y="19568160"/>
              <a:ext cx="2286332" cy="6859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20=(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3+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2+2/5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𝜒+2/35)/(𝜒_</a:t>
              </a:r>
              <a:r>
                <a:rPr lang="en-US" sz="1600" b="0" i="0">
                  <a:latin typeface="Cambria Math" panose="02040503050406030204" pitchFamily="18" charset="0"/>
                </a:rPr>
                <a:t>1^3 )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20320</xdr:colOff>
      <xdr:row>64</xdr:row>
      <xdr:rowOff>40640</xdr:rowOff>
    </xdr:from>
    <xdr:ext cx="1950085" cy="7082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 txBox="1"/>
          </xdr:nvSpPr>
          <xdr:spPr>
            <a:xfrm>
              <a:off x="10292080" y="15443200"/>
              <a:ext cx="1950085" cy="708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𝑏𝑓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𝑠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1/3</m:t>
                                    </m:r>
                                  </m:sup>
                                </m:sSubSup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8.1</m:t>
                                </m:r>
                                <m:rad>
                                  <m:radPr>
                                    <m:degHide m:val="on"/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radPr>
                                  <m:deg/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𝑔𝑆</m:t>
                                    </m:r>
                                  </m:e>
                                </m:rad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3/2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 txBox="1"/>
          </xdr:nvSpPr>
          <xdr:spPr>
            <a:xfrm>
              <a:off x="10292080" y="15443200"/>
              <a:ext cx="1950085" cy="708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𝐻_(𝑏𝑓,𝑠)=((𝑈_𝑏𝑓 𝑘_𝑠^(1/3))/(8.1√𝑔𝑆))^(3/2)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14</xdr:col>
      <xdr:colOff>254000</xdr:colOff>
      <xdr:row>64</xdr:row>
      <xdr:rowOff>162560</xdr:rowOff>
    </xdr:from>
    <xdr:ext cx="1254510" cy="509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 txBox="1"/>
          </xdr:nvSpPr>
          <xdr:spPr>
            <a:xfrm>
              <a:off x="12212320" y="15565120"/>
              <a:ext cx="1254510" cy="509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 txBox="1"/>
          </xdr:nvSpPr>
          <xdr:spPr>
            <a:xfrm>
              <a:off x="12212320" y="15565120"/>
              <a:ext cx="1254510" cy="509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𝑏𝑓,𝑠)^∗=(𝐻_(𝑏𝑓,𝑠) 𝑆)/(𝑅𝑑_𝑠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355600</xdr:colOff>
      <xdr:row>69</xdr:row>
      <xdr:rowOff>132080</xdr:rowOff>
    </xdr:from>
    <xdr:ext cx="1990610" cy="2906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8940800" y="16753840"/>
              <a:ext cx="1990610" cy="2906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𝑐𝑎𝑙𝑐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𝑚𝑖𝑛</m:t>
                    </m:r>
                    <m:d>
                      <m:dPr>
                        <m:begChr m:val="{"/>
                        <m:endChr m:val="}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8940800" y="16753840"/>
              <a:ext cx="1990610" cy="2906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𝑐𝑎𝑙𝑐^∗=𝑚𝑖𝑛{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𝑏𝑓^∗,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𝑏𝑓,𝑠)^∗ }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14</xdr:col>
      <xdr:colOff>731520</xdr:colOff>
      <xdr:row>84</xdr:row>
      <xdr:rowOff>20320</xdr:rowOff>
    </xdr:from>
    <xdr:ext cx="2944332" cy="688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 txBox="1"/>
          </xdr:nvSpPr>
          <xdr:spPr>
            <a:xfrm>
              <a:off x="12689840" y="20340320"/>
              <a:ext cx="2944332" cy="688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𝑏𝑒𝑑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𝜒</m:t>
                                </m:r>
                              </m:e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den>
                            </m:f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15</m:t>
                                </m:r>
                              </m:den>
                            </m:f>
                          </m:e>
                        </m:d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num>
                      <m:den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20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𝜒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 txBox="1"/>
          </xdr:nvSpPr>
          <xdr:spPr>
            <a:xfrm>
              <a:off x="12689840" y="20340320"/>
              <a:ext cx="2944332" cy="688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𝐺_𝑏𝑒𝑑=(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2+2/3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𝜒+2/15)𝜒/(𝜒_</a:t>
              </a:r>
              <a:r>
                <a:rPr lang="en-US" sz="1600" b="0" i="0">
                  <a:latin typeface="Cambria Math" panose="02040503050406030204" pitchFamily="18" charset="0"/>
                </a:rPr>
                <a:t>1^2 )−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20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11</xdr:col>
      <xdr:colOff>568960</xdr:colOff>
      <xdr:row>84</xdr:row>
      <xdr:rowOff>81281</xdr:rowOff>
    </xdr:from>
    <xdr:ext cx="2590800" cy="7721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 txBox="1"/>
          </xdr:nvSpPr>
          <xdr:spPr>
            <a:xfrm>
              <a:off x="9997440" y="20401281"/>
              <a:ext cx="2590800" cy="7721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𝑇𝐺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sSup>
                              <m:s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𝜒</m:t>
                                </m:r>
                              </m:e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5</m:t>
                                </m:r>
                              </m:den>
                            </m:f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15</m:t>
                                </m:r>
                              </m:den>
                            </m:f>
                          </m:e>
                        </m:d>
                      </m:num>
                      <m:den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945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 txBox="1"/>
          </xdr:nvSpPr>
          <xdr:spPr>
            <a:xfrm>
              <a:off x="9997440" y="20401281"/>
              <a:ext cx="2590800" cy="7721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𝑇𝐺=2(2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2−4/5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𝜒+1/15)/(〖</a:t>
              </a:r>
              <a:r>
                <a:rPr lang="en-US" sz="1600" b="0" i="0">
                  <a:latin typeface="Cambria Math" panose="02040503050406030204" pitchFamily="18" charset="0"/>
                </a:rPr>
                <a:t>945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𝜒〗_</a:t>
              </a:r>
              <a:r>
                <a:rPr lang="en-US" sz="1600" b="0" i="0">
                  <a:latin typeface="Cambria Math" panose="02040503050406030204" pitchFamily="18" charset="0"/>
                </a:rPr>
                <a:t>1^4 )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304800</xdr:colOff>
      <xdr:row>73</xdr:row>
      <xdr:rowOff>132080</xdr:rowOff>
    </xdr:from>
    <xdr:ext cx="1463029" cy="5267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 txBox="1"/>
          </xdr:nvSpPr>
          <xdr:spPr>
            <a:xfrm>
              <a:off x="8890000" y="17729200"/>
              <a:ext cx="1463029" cy="5267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𝑅𝑔</m:t>
                            </m:r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</m:sSub>
                          </m:e>
                        </m:rad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𝜈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 txBox="1"/>
          </xdr:nvSpPr>
          <xdr:spPr>
            <a:xfrm>
              <a:off x="8890000" y="17729200"/>
              <a:ext cx="1463029" cy="5267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〖𝑅𝑒〗_𝑝=(√(𝑅𝑔𝑑_𝑠 ) 𝑑_𝑠)/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𝜈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375920</xdr:colOff>
      <xdr:row>73</xdr:row>
      <xdr:rowOff>223520</xdr:rowOff>
    </xdr:from>
    <xdr:ext cx="3734612" cy="3684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10647680" y="17820640"/>
              <a:ext cx="3734612" cy="368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=0.5</m:t>
                    </m:r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0.22</m:t>
                        </m:r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𝑅𝑒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−0.6</m:t>
                            </m:r>
                          </m:sup>
                        </m:sSub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+0.06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−7.7</m:t>
                            </m:r>
                            <m:sSubSup>
                              <m:sSub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𝑅𝑒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</m:t>
                                </m:r>
                              </m:sub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−0.6</m:t>
                                </m:r>
                              </m:sup>
                            </m:sSubSup>
                          </m:sup>
                        </m:sSup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10647680" y="17820640"/>
              <a:ext cx="3734612" cy="368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𝑐^∗=0.5(0.22〖𝑅𝑒〗_𝑝^(−0.6)+0.06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×10^(−7.7〖𝑅𝑒〗_𝑝^(−0.6) )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213360</xdr:colOff>
      <xdr:row>87</xdr:row>
      <xdr:rowOff>182880</xdr:rowOff>
    </xdr:from>
    <xdr:ext cx="1298241" cy="727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 txBox="1"/>
          </xdr:nvSpPr>
          <xdr:spPr>
            <a:xfrm>
              <a:off x="10485120" y="21234400"/>
              <a:ext cx="1298241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p>
                    <m:rad>
                      <m:radPr>
                        <m:degHide m:val="on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num>
                          <m:den>
                            <m:sSubSup>
                              <m:sSub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𝑐𝑎𝑙𝑐</m:t>
                                </m:r>
                              </m:sub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 txBox="1"/>
          </xdr:nvSpPr>
          <xdr:spPr>
            <a:xfrm>
              <a:off x="10485120" y="21234400"/>
              <a:ext cx="1298241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</a:t>
              </a:r>
              <a:r>
                <a:rPr lang="en-US" sz="1600" b="0" i="0">
                  <a:latin typeface="Cambria Math" panose="02040503050406030204" pitchFamily="18" charset="0"/>
                </a:rPr>
                <a:t>𝑜=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𝛽^</a:t>
              </a:r>
              <a:r>
                <a:rPr lang="en-US" sz="1600" b="0" i="0">
                  <a:latin typeface="Cambria Math" panose="02040503050406030204" pitchFamily="18" charset="0"/>
                </a:rPr>
                <a:t>∗ √((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𝑐^∗)/(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𝑐𝑎𝑙𝑐^∗ 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14</xdr:col>
      <xdr:colOff>162560</xdr:colOff>
      <xdr:row>59</xdr:row>
      <xdr:rowOff>101600</xdr:rowOff>
    </xdr:from>
    <xdr:ext cx="964815" cy="5389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12120880" y="14264640"/>
              <a:ext cx="964815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12120880" y="14264640"/>
              <a:ext cx="964815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</a:t>
              </a:r>
              <a:r>
                <a:rPr lang="en-US" sz="1600" b="0" i="0">
                  <a:latin typeface="Cambria Math" panose="02040503050406030204" pitchFamily="18" charset="0"/>
                </a:rPr>
                <a:t>=𝐶_(𝑓,𝑐)/2  𝐵_𝑐/𝐿_𝑓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264160</xdr:colOff>
      <xdr:row>78</xdr:row>
      <xdr:rowOff>172720</xdr:rowOff>
    </xdr:from>
    <xdr:ext cx="3708644" cy="5377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8849360" y="19009360"/>
              <a:ext cx="3708644" cy="537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𝑏𝑎𝑛𝑘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e>
                          <m:sup>
                            <m:d>
                              <m:dPr>
                                <m:begChr m:val="["/>
                                <m:endChr m:val="]"/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𝑙𝑜𝑔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  <m:d>
                                  <m:d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sSub>
                                      <m:sSubPr>
                                        <m:ctrlP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1000</m:t>
                                        </m:r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𝑑</m:t>
                                        </m:r>
                                      </m:e>
                                      <m:sub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𝑠</m:t>
                                        </m:r>
                                      </m:sub>
                                    </m:sSub>
                                  </m:e>
                                </m:d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𝐹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𝑠</m:t>
                                    </m:r>
                                  </m:sub>
                                </m:s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𝑙𝑜𝑔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  <m:d>
                                  <m:d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sSub>
                                      <m:sSubPr>
                                        <m:ctrlP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1000</m:t>
                                        </m:r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𝑑</m:t>
                                        </m:r>
                                      </m:e>
                                      <m:sub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𝑚</m:t>
                                        </m:r>
                                      </m:sub>
                                    </m:sSub>
                                  </m:e>
                                </m:d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𝐹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𝑚</m:t>
                                    </m:r>
                                  </m:sub>
                                </m:sSub>
                              </m:e>
                            </m:d>
                          </m:sup>
                        </m:sSup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1000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8849360" y="19009360"/>
              <a:ext cx="3708644" cy="537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𝑑_𝑏𝑎𝑛𝑘=2^[〖𝑙𝑜𝑔〗_2 (〖1000𝑑〗_𝑠 ) 𝐹_(𝑓,𝑠)+〖𝑙𝑜𝑔〗_2 (〖1000𝑑〗_𝑚 ) 𝐹_(𝑓,𝑚) ] /1000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254000</xdr:colOff>
      <xdr:row>91</xdr:row>
      <xdr:rowOff>162560</xdr:rowOff>
    </xdr:from>
    <xdr:ext cx="1714637" cy="5320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8839200" y="22189440"/>
              <a:ext cx="1714637" cy="532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𝑆𝑐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𝑓𝑎𝑐𝑡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=−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𝑏𝑒𝑑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8839200" y="22189440"/>
              <a:ext cx="1714637" cy="532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〖𝑆𝑐〗_𝑓𝑎𝑐𝑡=−𝐺_𝑏𝑒𝑑/(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𝜒𝐶_(𝑓,𝑐) 𝛽_𝑜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579120</xdr:colOff>
      <xdr:row>91</xdr:row>
      <xdr:rowOff>142240</xdr:rowOff>
    </xdr:from>
    <xdr:ext cx="1372683" cy="5028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10850880" y="22169120"/>
              <a:ext cx="1372683" cy="5028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𝑆𝑒𝑐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𝑓𝑙𝑜𝑤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𝑇𝐺</m:t>
                        </m:r>
                      </m:num>
                      <m:den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10850880" y="22169120"/>
              <a:ext cx="1372683" cy="5028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〖𝑆𝑒𝑐〗_𝑓𝑙𝑜𝑤=3𝑇𝐺/(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𝜀^</a:t>
              </a:r>
              <a:r>
                <a:rPr lang="en-US" sz="1600" b="0" i="0">
                  <a:latin typeface="Cambria Math" panose="02040503050406030204" pitchFamily="18" charset="0"/>
                </a:rPr>
                <a:t>2 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1 )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60960</xdr:colOff>
      <xdr:row>9</xdr:row>
      <xdr:rowOff>132080</xdr:rowOff>
    </xdr:from>
    <xdr:ext cx="2733441" cy="491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 txBox="1"/>
          </xdr:nvSpPr>
          <xdr:spPr>
            <a:xfrm>
              <a:off x="904240" y="2367280"/>
              <a:ext cx="2733441" cy="491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e>
                      <m:sup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sup>
                    </m:sSup>
                    <m:rad>
                      <m:radPr>
                        <m:degHide m:val="on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𝑅𝑔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</m:rad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9CB318E0-D2C4-E346-8892-0C294F8214A5}"/>
                </a:ext>
              </a:extLst>
            </xdr:cNvPr>
            <xdr:cNvSpPr txBox="1"/>
          </xdr:nvSpPr>
          <xdr:spPr>
            <a:xfrm>
              <a:off x="904240" y="2367280"/>
              <a:ext cx="2733441" cy="491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𝑄_(𝑠,𝑏𝑓)=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600" b="0" i="0">
                  <a:latin typeface="Cambria Math" panose="02040503050406030204" pitchFamily="18" charset="0"/>
                </a:rPr>
                <a:t>𝐸𝐻/𝐶_(𝑓,𝑐)  〖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𝑏𝑓^∗〗^(𝑛_𝐸𝐻 ) √(𝑅𝑔𝑑_𝑠 ) 𝑑_𝑠 𝐵_𝑐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589280</xdr:colOff>
      <xdr:row>9</xdr:row>
      <xdr:rowOff>101600</xdr:rowOff>
    </xdr:from>
    <xdr:ext cx="900118" cy="5300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 txBox="1"/>
          </xdr:nvSpPr>
          <xdr:spPr>
            <a:xfrm>
              <a:off x="4094480" y="2298700"/>
              <a:ext cx="900118" cy="5300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.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𝑎𝑣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 txBox="1"/>
          </xdr:nvSpPr>
          <xdr:spPr>
            <a:xfrm>
              <a:off x="4094480" y="2298700"/>
              <a:ext cx="900118" cy="5300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𝐼_𝑓=𝑄_(𝑠.𝑎𝑣)/𝑄_(𝑠,𝑏𝑓)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0</xdr:colOff>
      <xdr:row>15</xdr:row>
      <xdr:rowOff>0</xdr:rowOff>
    </xdr:from>
    <xdr:ext cx="2348528" cy="5121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SpPr txBox="1"/>
          </xdr:nvSpPr>
          <xdr:spPr>
            <a:xfrm>
              <a:off x="838200" y="3644900"/>
              <a:ext cx="2348528" cy="512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𝑝𝑏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begChr m:val="|"/>
                            <m:endChr m:val="|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𝑆𝑐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𝑓𝑎𝑐𝑡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𝐴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SpPr txBox="1"/>
          </xdr:nvSpPr>
          <xdr:spPr>
            <a:xfrm>
              <a:off x="838200" y="3644900"/>
              <a:ext cx="2348528" cy="512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𝐻_𝑝𝑏=(|〖𝑆𝑐〗_𝑓𝑎𝑐𝑡 | 𝐿_𝑓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𝜎)/</a:t>
              </a:r>
              <a:r>
                <a:rPr lang="en-US" sz="1600" b="0" i="0">
                  <a:latin typeface="Cambria Math" panose="02040503050406030204" pitchFamily="18" charset="0"/>
                </a:rPr>
                <a:t>2=(𝐴𝐿_𝑓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𝜎)/</a:t>
              </a:r>
              <a:r>
                <a:rPr lang="en-US" sz="1600" b="0" i="0">
                  <a:latin typeface="Cambria Math" panose="02040503050406030204" pitchFamily="18" charset="0"/>
                </a:rPr>
                <a:t>2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154940</xdr:colOff>
      <xdr:row>15</xdr:row>
      <xdr:rowOff>104140</xdr:rowOff>
    </xdr:from>
    <xdr:ext cx="1327158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300-00003F000000}"/>
                </a:ext>
              </a:extLst>
            </xdr:cNvPr>
            <xdr:cNvSpPr txBox="1"/>
          </xdr:nvSpPr>
          <xdr:spPr>
            <a:xfrm>
              <a:off x="3660140" y="3749040"/>
              <a:ext cx="1327158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𝜂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𝑝𝑏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300-00003F000000}"/>
                </a:ext>
              </a:extLst>
            </xdr:cNvPr>
            <xdr:cNvSpPr txBox="1"/>
          </xdr:nvSpPr>
          <xdr:spPr>
            <a:xfrm>
              <a:off x="3660140" y="3749040"/>
              <a:ext cx="1327158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∆𝜂</a:t>
              </a:r>
              <a:r>
                <a:rPr lang="en-US" sz="1600" b="0" i="0">
                  <a:latin typeface="Cambria Math" panose="02040503050406030204" pitchFamily="18" charset="0"/>
                </a:rPr>
                <a:t>=𝐿_𝑓−𝐻_𝑝𝑏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0</xdr:col>
      <xdr:colOff>812800</xdr:colOff>
      <xdr:row>18</xdr:row>
      <xdr:rowOff>50801</xdr:rowOff>
    </xdr:from>
    <xdr:ext cx="1329467" cy="5358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300-000042000000}"/>
                </a:ext>
              </a:extLst>
            </xdr:cNvPr>
            <xdr:cNvSpPr txBox="1"/>
          </xdr:nvSpPr>
          <xdr:spPr>
            <a:xfrm>
              <a:off x="812800" y="4460241"/>
              <a:ext cx="1329467" cy="5358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𝑏𝑎𝑛𝑘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𝑝𝑏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𝑠𝑙𝑜𝑝𝑒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4A8A6193-EFB8-E94A-8FBD-46ADCC11BE1D}"/>
                </a:ext>
              </a:extLst>
            </xdr:cNvPr>
            <xdr:cNvSpPr txBox="1"/>
          </xdr:nvSpPr>
          <xdr:spPr>
            <a:xfrm>
              <a:off x="812800" y="4460241"/>
              <a:ext cx="1329467" cy="5358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𝐵_𝑏𝑎𝑛𝑘=𝐻_𝑝𝑏/𝑏_𝑠𝑙𝑜𝑝𝑒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680720</xdr:colOff>
      <xdr:row>18</xdr:row>
      <xdr:rowOff>53340</xdr:rowOff>
    </xdr:from>
    <xdr:ext cx="1666803" cy="5012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300-000043000000}"/>
                </a:ext>
              </a:extLst>
            </xdr:cNvPr>
            <xdr:cNvSpPr txBox="1"/>
          </xdr:nvSpPr>
          <xdr:spPr>
            <a:xfrm>
              <a:off x="3347720" y="4422140"/>
              <a:ext cx="1666803" cy="5012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𝑏𝑎𝑟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𝑏𝑎𝑛𝑘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300-000043000000}"/>
                </a:ext>
              </a:extLst>
            </xdr:cNvPr>
            <xdr:cNvSpPr txBox="1"/>
          </xdr:nvSpPr>
          <xdr:spPr>
            <a:xfrm>
              <a:off x="3347720" y="4422140"/>
              <a:ext cx="1666803" cy="5012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𝑛_𝑏𝑎𝑟=(𝐵_𝑐+𝐵_𝑏𝑎𝑛𝑘)/𝐵_𝑐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40640</xdr:colOff>
      <xdr:row>25</xdr:row>
      <xdr:rowOff>132080</xdr:rowOff>
    </xdr:from>
    <xdr:ext cx="3813673" cy="291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0300-000044000000}"/>
                </a:ext>
              </a:extLst>
            </xdr:cNvPr>
            <xdr:cNvSpPr txBox="1"/>
          </xdr:nvSpPr>
          <xdr:spPr>
            <a:xfrm>
              <a:off x="1879600" y="6248400"/>
              <a:ext cx="3813673" cy="291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𝐹𝑟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𝑏𝑓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20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𝑆𝑐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𝑓𝑎𝑐𝑡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−1+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𝑆𝑒𝑐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𝑓𝑙𝑜𝑤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21A6A067-0BD6-C840-BD22-C7B3D236BD0F}"/>
                </a:ext>
              </a:extLst>
            </xdr:cNvPr>
            <xdr:cNvSpPr txBox="1"/>
          </xdr:nvSpPr>
          <xdr:spPr>
            <a:xfrm>
              <a:off x="1879600" y="6248400"/>
              <a:ext cx="3813673" cy="291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𝑢_1=0.5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𝜎(〖𝐹𝑟〗_𝑏𝑓^2 𝜒_20+〖𝑆𝑐〗_𝑓𝑎𝑐𝑡−1+〖𝑆𝑒𝑐〗_𝑓𝑙𝑜𝑤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965200</xdr:colOff>
      <xdr:row>31</xdr:row>
      <xdr:rowOff>10160</xdr:rowOff>
    </xdr:from>
    <xdr:ext cx="1719766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00000000-0008-0000-0300-000045000000}"/>
                </a:ext>
              </a:extLst>
            </xdr:cNvPr>
            <xdr:cNvSpPr txBox="1"/>
          </xdr:nvSpPr>
          <xdr:spPr>
            <a:xfrm>
              <a:off x="1808480" y="7589520"/>
              <a:ext cx="1719766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DD95E67F-D5D5-034D-A806-E2247A8DC262}"/>
                </a:ext>
              </a:extLst>
            </xdr:cNvPr>
            <xdr:cNvSpPr txBox="1"/>
          </xdr:nvSpPr>
          <xdr:spPr>
            <a:xfrm>
              <a:off x="1808480" y="7589520"/>
              <a:ext cx="1719766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𝑈_𝑏1=𝑈_𝑏𝑓 (1−𝑢_1 )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142240</xdr:colOff>
      <xdr:row>30</xdr:row>
      <xdr:rowOff>233680</xdr:rowOff>
    </xdr:from>
    <xdr:ext cx="1719766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300-000046000000}"/>
                </a:ext>
              </a:extLst>
            </xdr:cNvPr>
            <xdr:cNvSpPr txBox="1"/>
          </xdr:nvSpPr>
          <xdr:spPr>
            <a:xfrm>
              <a:off x="4511040" y="7569200"/>
              <a:ext cx="1719766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1+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A9F299A8-E301-044A-A59F-34E52CBE5322}"/>
                </a:ext>
              </a:extLst>
            </xdr:cNvPr>
            <xdr:cNvSpPr txBox="1"/>
          </xdr:nvSpPr>
          <xdr:spPr>
            <a:xfrm>
              <a:off x="4511040" y="7569200"/>
              <a:ext cx="1719766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𝑈_𝑏2=𝑈_𝑏𝑓 (1+𝑢_1 )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955040</xdr:colOff>
      <xdr:row>32</xdr:row>
      <xdr:rowOff>233680</xdr:rowOff>
    </xdr:from>
    <xdr:ext cx="1817292" cy="4201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0300-000047000000}"/>
                </a:ext>
              </a:extLst>
            </xdr:cNvPr>
            <xdr:cNvSpPr txBox="1"/>
          </xdr:nvSpPr>
          <xdr:spPr>
            <a:xfrm>
              <a:off x="1798320" y="8056880"/>
              <a:ext cx="1817292" cy="4201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𝑇𝑟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𝑐𝑜𝑒𝑓𝑓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=1−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𝑏𝑎𝑟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BE5998AD-F475-4545-AE4F-FE5B3B1CC1C6}"/>
                </a:ext>
              </a:extLst>
            </xdr:cNvPr>
            <xdr:cNvSpPr txBox="1"/>
          </xdr:nvSpPr>
          <xdr:spPr>
            <a:xfrm>
              <a:off x="1798320" y="8056880"/>
              <a:ext cx="1817292" cy="4201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〖𝑇𝑟〗_(𝑐𝑜𝑒𝑓𝑓,1)=1−𝑛_𝑏𝑎𝑟/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965200</xdr:colOff>
      <xdr:row>35</xdr:row>
      <xdr:rowOff>101600</xdr:rowOff>
    </xdr:from>
    <xdr:ext cx="1548822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0300-000048000000}"/>
                </a:ext>
              </a:extLst>
            </xdr:cNvPr>
            <xdr:cNvSpPr txBox="1"/>
          </xdr:nvSpPr>
          <xdr:spPr>
            <a:xfrm>
              <a:off x="1808480" y="8656320"/>
              <a:ext cx="1548822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𝑇𝑟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𝑐𝑜𝑒𝑓𝑓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,2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=1−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32D854EC-7349-F940-90E4-DAAE23B87A57}"/>
                </a:ext>
              </a:extLst>
            </xdr:cNvPr>
            <xdr:cNvSpPr txBox="1"/>
          </xdr:nvSpPr>
          <xdr:spPr>
            <a:xfrm>
              <a:off x="1808480" y="8656320"/>
              <a:ext cx="1548822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〖𝑇𝑟〗_(𝑐𝑜𝑒𝑓𝑓,2)=1−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965200</xdr:colOff>
      <xdr:row>37</xdr:row>
      <xdr:rowOff>81280</xdr:rowOff>
    </xdr:from>
    <xdr:ext cx="869149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00000000-0008-0000-0300-000049000000}"/>
                </a:ext>
              </a:extLst>
            </xdr:cNvPr>
            <xdr:cNvSpPr txBox="1"/>
          </xdr:nvSpPr>
          <xdr:spPr>
            <a:xfrm>
              <a:off x="1808480" y="9123680"/>
              <a:ext cx="86914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𝑠𝑠𝑠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=−1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B4C045CF-01EF-4249-AB80-42A97FCFAC05}"/>
                </a:ext>
              </a:extLst>
            </xdr:cNvPr>
            <xdr:cNvSpPr txBox="1"/>
          </xdr:nvSpPr>
          <xdr:spPr>
            <a:xfrm>
              <a:off x="1808480" y="9123680"/>
              <a:ext cx="86914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𝑠𝑠𝑠=−1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111760</xdr:colOff>
      <xdr:row>32</xdr:row>
      <xdr:rowOff>223520</xdr:rowOff>
    </xdr:from>
    <xdr:ext cx="1817292" cy="421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0300-00004A000000}"/>
                </a:ext>
              </a:extLst>
            </xdr:cNvPr>
            <xdr:cNvSpPr txBox="1"/>
          </xdr:nvSpPr>
          <xdr:spPr>
            <a:xfrm>
              <a:off x="4480560" y="8046720"/>
              <a:ext cx="1817292" cy="4217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𝑇𝑟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𝑐𝑜𝑒𝑓𝑓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=1+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𝑏𝑎𝑟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44602AC4-99E3-E84E-B4E2-13F30F260BB0}"/>
                </a:ext>
              </a:extLst>
            </xdr:cNvPr>
            <xdr:cNvSpPr txBox="1"/>
          </xdr:nvSpPr>
          <xdr:spPr>
            <a:xfrm>
              <a:off x="4480560" y="8046720"/>
              <a:ext cx="1817292" cy="4217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〖𝑇𝑟〗_(𝑐𝑜𝑒𝑓𝑓,1)=1+𝑛_𝑏𝑎𝑟/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121920</xdr:colOff>
      <xdr:row>35</xdr:row>
      <xdr:rowOff>91440</xdr:rowOff>
    </xdr:from>
    <xdr:ext cx="1548822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00000000-0008-0000-0300-00004B000000}"/>
                </a:ext>
              </a:extLst>
            </xdr:cNvPr>
            <xdr:cNvSpPr txBox="1"/>
          </xdr:nvSpPr>
          <xdr:spPr>
            <a:xfrm>
              <a:off x="4490720" y="8646160"/>
              <a:ext cx="1548822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𝑇𝑟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𝑐𝑜𝑒𝑓𝑓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,2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=1+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DE93FC50-5364-944F-BDE6-4FF1308006B7}"/>
                </a:ext>
              </a:extLst>
            </xdr:cNvPr>
            <xdr:cNvSpPr txBox="1"/>
          </xdr:nvSpPr>
          <xdr:spPr>
            <a:xfrm>
              <a:off x="4490720" y="8646160"/>
              <a:ext cx="1548822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〖𝑇𝑟〗_(𝑐𝑜𝑒𝑓𝑓,2)=1+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121920</xdr:colOff>
      <xdr:row>37</xdr:row>
      <xdr:rowOff>71120</xdr:rowOff>
    </xdr:from>
    <xdr:ext cx="71583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00000000-0008-0000-0300-00004C000000}"/>
                </a:ext>
              </a:extLst>
            </xdr:cNvPr>
            <xdr:cNvSpPr txBox="1"/>
          </xdr:nvSpPr>
          <xdr:spPr>
            <a:xfrm>
              <a:off x="4490720" y="9113520"/>
              <a:ext cx="71583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𝑠𝑠𝑠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=1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308A21D2-ADDC-6247-8DE5-3F159441C78F}"/>
                </a:ext>
              </a:extLst>
            </xdr:cNvPr>
            <xdr:cNvSpPr txBox="1"/>
          </xdr:nvSpPr>
          <xdr:spPr>
            <a:xfrm>
              <a:off x="4490720" y="9113520"/>
              <a:ext cx="71583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𝑠𝑠𝑠=1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833120</xdr:colOff>
      <xdr:row>42</xdr:row>
      <xdr:rowOff>60960</xdr:rowOff>
    </xdr:from>
    <xdr:ext cx="1173590" cy="5618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 txBox="1"/>
          </xdr:nvSpPr>
          <xdr:spPr>
            <a:xfrm>
              <a:off x="4358640" y="10322560"/>
              <a:ext cx="1173590" cy="5618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𝑏𝑖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E8946709-379C-4E4A-881D-04D803BA27B7}"/>
                </a:ext>
              </a:extLst>
            </xdr:cNvPr>
            <xdr:cNvSpPr txBox="1"/>
          </xdr:nvSpPr>
          <xdr:spPr>
            <a:xfrm>
              <a:off x="4358640" y="10322560"/>
              <a:ext cx="1173590" cy="5618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𝑟𝑎𝑡𝑖𝑜,𝑖)^∗=(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𝑏𝑖^∗)/(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𝑏𝑓^∗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254000</xdr:colOff>
      <xdr:row>42</xdr:row>
      <xdr:rowOff>101600</xdr:rowOff>
    </xdr:from>
    <xdr:ext cx="1159805" cy="5508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 txBox="1"/>
          </xdr:nvSpPr>
          <xdr:spPr>
            <a:xfrm>
              <a:off x="2092960" y="10363200"/>
              <a:ext cx="1159805" cy="5508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𝑈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𝑏𝑖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𝑔𝑑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D78F71C1-5893-B84C-9247-43B0A899971C}"/>
                </a:ext>
              </a:extLst>
            </xdr:cNvPr>
            <xdr:cNvSpPr txBox="1"/>
          </xdr:nvSpPr>
          <xdr:spPr>
            <a:xfrm>
              <a:off x="2092960" y="10363200"/>
              <a:ext cx="1159805" cy="5508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𝑏𝑖^∗=(𝐶_(𝑓,𝑐) 𝑈_𝑏𝑖^2)/(𝑅〖𝑔𝑑〗_𝑠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223520</xdr:colOff>
      <xdr:row>47</xdr:row>
      <xdr:rowOff>142240</xdr:rowOff>
    </xdr:from>
    <xdr:ext cx="2601803" cy="4969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 txBox="1"/>
          </xdr:nvSpPr>
          <xdr:spPr>
            <a:xfrm>
              <a:off x="2062480" y="11623040"/>
              <a:ext cx="2601803" cy="4969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𝑛𝑜𝑛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𝑏𝑒𝑑𝑙𝑜𝑎𝑑</m:t>
                        </m:r>
                      </m:sub>
                    </m:sSub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𝑏𝑖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e>
                      <m:sup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D31AD3AC-E966-EC44-A363-43EBEC79D9E9}"/>
                </a:ext>
              </a:extLst>
            </xdr:cNvPr>
            <xdr:cNvSpPr txBox="1"/>
          </xdr:nvSpPr>
          <xdr:spPr>
            <a:xfrm>
              <a:off x="2062480" y="11623040"/>
              <a:ext cx="2601803" cy="4969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𝑞_(𝑠,𝑛𝑜𝑛,𝑖)=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600" b="0" i="0">
                  <a:latin typeface="Cambria Math" panose="02040503050406030204" pitchFamily="18" charset="0"/>
                </a:rPr>
                <a:t>𝑏𝑒𝑑𝑙𝑜𝑎𝑑  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600" b="0" i="0">
                  <a:latin typeface="Cambria Math" panose="02040503050406030204" pitchFamily="18" charset="0"/>
                </a:rPr>
                <a:t>𝐸𝐻/𝐶_(𝑓,𝑐)  〖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𝑏𝑖^∗〗^(𝑛_𝐸𝐻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223520</xdr:colOff>
      <xdr:row>50</xdr:row>
      <xdr:rowOff>30480</xdr:rowOff>
    </xdr:from>
    <xdr:ext cx="5330883" cy="3055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 txBox="1"/>
          </xdr:nvSpPr>
          <xdr:spPr>
            <a:xfrm>
              <a:off x="2062480" y="12242800"/>
              <a:ext cx="5330883" cy="3055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𝑛𝑜𝑛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d>
                      <m:dPr>
                        <m:begChr m:val="|"/>
                        <m:endChr m:val="|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𝑠𝑙𝑜𝑝𝑒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𝑅𝑔</m:t>
                            </m:r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𝑏𝑎𝑛𝑘</m:t>
                                </m:r>
                              </m:sub>
                            </m:sSub>
                          </m:e>
                        </m:rad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𝑏𝑎𝑛𝑘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×60×60×24×365.25</m:t>
                        </m:r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EF800D5E-2BB0-7D41-BA7C-2E0366578F24}"/>
                </a:ext>
              </a:extLst>
            </xdr:cNvPr>
            <xdr:cNvSpPr txBox="1"/>
          </xdr:nvSpPr>
          <xdr:spPr>
            <a:xfrm>
              <a:off x="2062480" y="12242800"/>
              <a:ext cx="5330883" cy="3055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𝑞_(𝑛,𝑖)=𝑞_(𝑠,𝑛𝑜𝑛,𝑖) |𝑏_𝑠𝑙𝑜𝑝𝑒 √(𝑅𝑔𝑑_𝑏𝑎𝑛𝑘 ) 𝑑_𝑏𝑎𝑛𝑘 𝐼_𝑓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×60×60×24×365.25|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213360</xdr:colOff>
      <xdr:row>54</xdr:row>
      <xdr:rowOff>203200</xdr:rowOff>
    </xdr:from>
    <xdr:ext cx="3653757" cy="537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00000000-0008-0000-0300-000051000000}"/>
                </a:ext>
              </a:extLst>
            </xdr:cNvPr>
            <xdr:cNvSpPr txBox="1"/>
          </xdr:nvSpPr>
          <xdr:spPr>
            <a:xfrm>
              <a:off x="2895600" y="13390880"/>
              <a:ext cx="3653757" cy="537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𝑛𝑜𝑛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𝑠𝑠𝑠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𝑞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𝑇𝑟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𝑐𝑜𝑒𝑓𝑓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,2,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d>
                              <m:d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1−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𝑝𝑜𝑟𝑜𝑠𝑖𝑡𝑦</m:t>
                                </m:r>
                              </m:e>
                            </m:d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𝑝𝑏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𝑇𝑟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𝑐𝑜𝑒𝑓𝑓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,1,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C3C7AFE3-4328-EA4E-AAAA-BC5D09ABA6B6}"/>
                </a:ext>
              </a:extLst>
            </xdr:cNvPr>
            <xdr:cNvSpPr txBox="1"/>
          </xdr:nvSpPr>
          <xdr:spPr>
            <a:xfrm>
              <a:off x="2895600" y="13390880"/>
              <a:ext cx="3653757" cy="537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𝑛𝑜𝑛,𝑖)=〖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𝑠𝑠𝑠〗_</a:t>
              </a:r>
              <a:r>
                <a:rPr lang="en-US" sz="1600" b="0" i="0">
                  <a:latin typeface="Cambria Math" panose="02040503050406030204" pitchFamily="18" charset="0"/>
                </a:rPr>
                <a:t>𝑖  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𝑞_(</a:t>
              </a:r>
              <a:r>
                <a:rPr lang="en-US" sz="1600" b="0" i="0">
                  <a:latin typeface="Cambria Math" panose="02040503050406030204" pitchFamily="18" charset="0"/>
                </a:rPr>
                <a:t>𝑛,𝑖) 〖𝑇𝑟〗_(𝑐𝑜𝑒𝑓𝑓,2,𝑖))/((1−𝑝𝑜𝑟𝑜𝑠𝑖𝑡𝑦)𝐻_𝑝𝑏 〖𝑇𝑟〗_(𝑐𝑜𝑒𝑓𝑓,1,𝑖)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203200</xdr:colOff>
      <xdr:row>57</xdr:row>
      <xdr:rowOff>81280</xdr:rowOff>
    </xdr:from>
    <xdr:ext cx="1811971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0300-000052000000}"/>
                </a:ext>
              </a:extLst>
            </xdr:cNvPr>
            <xdr:cNvSpPr txBox="1"/>
          </xdr:nvSpPr>
          <xdr:spPr>
            <a:xfrm>
              <a:off x="2885440" y="14000480"/>
              <a:ext cx="1811971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𝑟𝑒𝑓𝑋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𝑠𝑠𝑠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𝑟𝑒𝑓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8336C7EF-B8F9-3A4E-871D-DCCF8A392265}"/>
                </a:ext>
              </a:extLst>
            </xdr:cNvPr>
            <xdr:cNvSpPr txBox="1"/>
          </xdr:nvSpPr>
          <xdr:spPr>
            <a:xfrm>
              <a:off x="2885440" y="14000480"/>
              <a:ext cx="1811971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𝐸,𝑟𝑒𝑓𝑋,𝑖)=〖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𝑠𝑠𝑠〗_</a:t>
              </a:r>
              <a:r>
                <a:rPr lang="en-US" sz="1600" b="0" i="0">
                  <a:latin typeface="Cambria Math" panose="02040503050406030204" pitchFamily="18" charset="0"/>
                </a:rPr>
                <a:t>𝑖 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𝐸,𝑟𝑒𝑓)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162560</xdr:colOff>
      <xdr:row>59</xdr:row>
      <xdr:rowOff>60960</xdr:rowOff>
    </xdr:from>
    <xdr:ext cx="2049857" cy="5557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00000000-0008-0000-0300-000053000000}"/>
                </a:ext>
              </a:extLst>
            </xdr:cNvPr>
            <xdr:cNvSpPr txBox="1"/>
          </xdr:nvSpPr>
          <xdr:spPr>
            <a:xfrm>
              <a:off x="2829560" y="14348460"/>
              <a:ext cx="2049857" cy="5557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𝑋𝑋𝑋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𝑟𝑒𝑓</m:t>
                        </m:r>
                      </m:sub>
                    </m:sSub>
                    <m:d>
                      <m:dPr>
                        <m:begChr m:val="|"/>
                        <m:endChr m:val="|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𝑛𝑜𝑛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𝑟𝑒𝑓𝑋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00000000-0008-0000-0300-000053000000}"/>
                </a:ext>
              </a:extLst>
            </xdr:cNvPr>
            <xdr:cNvSpPr txBox="1"/>
          </xdr:nvSpPr>
          <xdr:spPr>
            <a:xfrm>
              <a:off x="2829560" y="14348460"/>
              <a:ext cx="2049857" cy="5557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〖𝑋𝑋𝑋〗_𝑖=𝐼_(𝑓,𝑟𝑒𝑓) |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𝑛𝑜𝑛,𝑖)/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𝐸,𝑟𝑒𝑓𝑋,𝑖) |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223520</xdr:colOff>
      <xdr:row>62</xdr:row>
      <xdr:rowOff>81280</xdr:rowOff>
    </xdr:from>
    <xdr:ext cx="1997406" cy="7488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 txBox="1"/>
          </xdr:nvSpPr>
          <xdr:spPr>
            <a:xfrm>
              <a:off x="2905760" y="15240000"/>
              <a:ext cx="1997406" cy="7488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𝑛𝑜𝑛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𝑋𝑋𝑋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sSubSup>
                              <m:sSub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𝑟𝑎𝑡𝑖𝑜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den>
                        </m:f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1E0A9C0F-5B7B-A248-8A4F-F63DE253C6B6}"/>
                </a:ext>
              </a:extLst>
            </xdr:cNvPr>
            <xdr:cNvSpPr txBox="1"/>
          </xdr:nvSpPr>
          <xdr:spPr>
            <a:xfrm>
              <a:off x="2905760" y="15240000"/>
              <a:ext cx="1997406" cy="7488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𝑏𝑖,1)=(𝐼_𝑓 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𝑛𝑜𝑛,𝑖))/(1+〖𝑋𝑋𝑋〗_𝑖/(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𝑟𝑎𝑡𝑖𝑜,𝑖)^∗−1))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193040</xdr:colOff>
      <xdr:row>67</xdr:row>
      <xdr:rowOff>71120</xdr:rowOff>
    </xdr:from>
    <xdr:ext cx="3229282" cy="2838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 txBox="1"/>
          </xdr:nvSpPr>
          <xdr:spPr>
            <a:xfrm>
              <a:off x="2875280" y="16449040"/>
              <a:ext cx="3229282" cy="283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,2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𝑠𝑠𝑠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𝑣𝑒𝑔</m:t>
                        </m:r>
                      </m:sub>
                    </m:sSub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1−</m:t>
                        </m:r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𝑟𝑎𝑡𝑖𝑜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D90428E7-BC3E-0244-B13F-403C7D02E6AD}"/>
                </a:ext>
              </a:extLst>
            </xdr:cNvPr>
            <xdr:cNvSpPr txBox="1"/>
          </xdr:nvSpPr>
          <xdr:spPr>
            <a:xfrm>
              <a:off x="2875280" y="16449040"/>
              <a:ext cx="3229282" cy="283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𝑏𝑖,2)=〖𝑠𝑠𝑠〗_𝑖 (1−𝐼_𝑓 ) 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600" b="0" i="0">
                  <a:latin typeface="Cambria Math" panose="02040503050406030204" pitchFamily="18" charset="0"/>
                </a:rPr>
                <a:t>𝑣𝑒𝑔 (1−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233680</xdr:colOff>
      <xdr:row>71</xdr:row>
      <xdr:rowOff>40640</xdr:rowOff>
    </xdr:from>
    <xdr:ext cx="786304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 txBox="1"/>
          </xdr:nvSpPr>
          <xdr:spPr>
            <a:xfrm>
              <a:off x="2915920" y="17393920"/>
              <a:ext cx="786304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,3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D2FC2A71-628D-0248-B4C4-2D2665256015}"/>
                </a:ext>
              </a:extLst>
            </xdr:cNvPr>
            <xdr:cNvSpPr txBox="1"/>
          </xdr:nvSpPr>
          <xdr:spPr>
            <a:xfrm>
              <a:off x="2915920" y="17393920"/>
              <a:ext cx="786304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𝑏𝑖,3)=0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426720</xdr:colOff>
      <xdr:row>75</xdr:row>
      <xdr:rowOff>233680</xdr:rowOff>
    </xdr:from>
    <xdr:ext cx="1001428" cy="2656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 txBox="1"/>
          </xdr:nvSpPr>
          <xdr:spPr>
            <a:xfrm>
              <a:off x="3108960" y="18582640"/>
              <a:ext cx="1001428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&gt;1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BB4AE267-7BEE-114E-940C-97783FEE4799}"/>
                </a:ext>
              </a:extLst>
            </xdr:cNvPr>
            <xdr:cNvSpPr txBox="1"/>
          </xdr:nvSpPr>
          <xdr:spPr>
            <a:xfrm>
              <a:off x="3108960" y="18582640"/>
              <a:ext cx="1001428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𝑟𝑎𝑡𝑖𝑜,𝑖)^∗&gt;1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6</xdr:col>
      <xdr:colOff>579120</xdr:colOff>
      <xdr:row>75</xdr:row>
      <xdr:rowOff>223520</xdr:rowOff>
    </xdr:from>
    <xdr:ext cx="914289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 txBox="1"/>
          </xdr:nvSpPr>
          <xdr:spPr>
            <a:xfrm>
              <a:off x="5791200" y="1857248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,1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37605437-293A-8B43-851C-D4796EC0E9A0}"/>
                </a:ext>
              </a:extLst>
            </xdr:cNvPr>
            <xdr:cNvSpPr txBox="1"/>
          </xdr:nvSpPr>
          <xdr:spPr>
            <a:xfrm>
              <a:off x="5791200" y="1857248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600" b="0" i="0">
                  <a:latin typeface="Cambria Math" panose="02040503050406030204" pitchFamily="18" charset="0"/>
                </a:rPr>
                <a:t>𝑏𝑖=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𝑏𝑖,1)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6</xdr:col>
      <xdr:colOff>599440</xdr:colOff>
      <xdr:row>80</xdr:row>
      <xdr:rowOff>20320</xdr:rowOff>
    </xdr:from>
    <xdr:ext cx="914289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 txBox="1"/>
          </xdr:nvSpPr>
          <xdr:spPr>
            <a:xfrm>
              <a:off x="5811520" y="1958848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,3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467156FA-996B-5541-844A-14B6125361E9}"/>
                </a:ext>
              </a:extLst>
            </xdr:cNvPr>
            <xdr:cNvSpPr txBox="1"/>
          </xdr:nvSpPr>
          <xdr:spPr>
            <a:xfrm>
              <a:off x="5811520" y="1958848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600" b="0" i="0">
                  <a:latin typeface="Cambria Math" panose="02040503050406030204" pitchFamily="18" charset="0"/>
                </a:rPr>
                <a:t>𝑏𝑖=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7</xdr:col>
      <xdr:colOff>40640</xdr:colOff>
      <xdr:row>77</xdr:row>
      <xdr:rowOff>223520</xdr:rowOff>
    </xdr:from>
    <xdr:ext cx="914289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 txBox="1"/>
          </xdr:nvSpPr>
          <xdr:spPr>
            <a:xfrm>
              <a:off x="6096000" y="1906016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,2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98771473-6D6C-454F-BC88-BB30AC6DFE63}"/>
                </a:ext>
              </a:extLst>
            </xdr:cNvPr>
            <xdr:cNvSpPr txBox="1"/>
          </xdr:nvSpPr>
          <xdr:spPr>
            <a:xfrm>
              <a:off x="6096000" y="1906016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600" b="0" i="0">
                  <a:latin typeface="Cambria Math" panose="02040503050406030204" pitchFamily="18" charset="0"/>
                </a:rPr>
                <a:t>𝑏𝑖=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𝑏𝑖,2)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406400</xdr:colOff>
      <xdr:row>85</xdr:row>
      <xdr:rowOff>20320</xdr:rowOff>
    </xdr:from>
    <xdr:ext cx="1390252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00000000-0008-0000-0300-00005C000000}"/>
                </a:ext>
              </a:extLst>
            </xdr:cNvPr>
            <xdr:cNvSpPr txBox="1"/>
          </xdr:nvSpPr>
          <xdr:spPr>
            <a:xfrm>
              <a:off x="1249680" y="20828000"/>
              <a:ext cx="1390252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4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400" b="0" i="0">
                        <a:latin typeface="Cambria Math" panose="02040503050406030204" pitchFamily="18" charset="0"/>
                      </a:rPr>
                      <m:t>=0.5</m:t>
                    </m:r>
                    <m:d>
                      <m:dPr>
                        <m:begChr m:val="|"/>
                        <m:endChr m:val="|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287104D8-3E5F-8144-ABAC-D6FA1A524D3D}"/>
                </a:ext>
              </a:extLst>
            </xdr:cNvPr>
            <xdr:cNvSpPr txBox="1"/>
          </xdr:nvSpPr>
          <xdr:spPr>
            <a:xfrm>
              <a:off x="1249680" y="20828000"/>
              <a:ext cx="1390252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c=0.5|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𝑏1+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𝑏2 |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4</xdr:col>
      <xdr:colOff>30480</xdr:colOff>
      <xdr:row>84</xdr:row>
      <xdr:rowOff>121920</xdr:rowOff>
    </xdr:from>
    <xdr:ext cx="1251496" cy="40902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00000000-0008-0000-0300-00005D000000}"/>
                </a:ext>
              </a:extLst>
            </xdr:cNvPr>
            <xdr:cNvSpPr txBox="1"/>
          </xdr:nvSpPr>
          <xdr:spPr>
            <a:xfrm>
              <a:off x="3556000" y="20685760"/>
              <a:ext cx="1251496" cy="4090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𝑑𝑡</m:t>
                        </m:r>
                      </m:den>
                    </m:f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5AC550AD-F864-7F41-8AA6-622E9453BCFB}"/>
                </a:ext>
              </a:extLst>
            </xdr:cNvPr>
            <xdr:cNvSpPr txBox="1"/>
          </xdr:nvSpPr>
          <xdr:spPr>
            <a:xfrm>
              <a:off x="3556000" y="20685760"/>
              <a:ext cx="1251496" cy="4090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</a:rPr>
                <a:t>(</a:t>
              </a:r>
              <a:r>
                <a:rPr lang="en-US" sz="1400" b="0" i="0">
                  <a:latin typeface="Cambria Math" panose="02040503050406030204" pitchFamily="18" charset="0"/>
                </a:rPr>
                <a:t>𝑑𝐵_𝑐)/𝑑𝑡=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𝑏2−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𝑏1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3</xdr:col>
      <xdr:colOff>396240</xdr:colOff>
      <xdr:row>77</xdr:row>
      <xdr:rowOff>213360</xdr:rowOff>
    </xdr:from>
    <xdr:ext cx="1001428" cy="2656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00000000-0008-0000-0300-00005E000000}"/>
                </a:ext>
              </a:extLst>
            </xdr:cNvPr>
            <xdr:cNvSpPr txBox="1"/>
          </xdr:nvSpPr>
          <xdr:spPr>
            <a:xfrm>
              <a:off x="3078480" y="19050000"/>
              <a:ext cx="1001428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&lt;1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326EDBC9-C2A7-4649-9B9E-C6F02A9FFE64}"/>
                </a:ext>
              </a:extLst>
            </xdr:cNvPr>
            <xdr:cNvSpPr txBox="1"/>
          </xdr:nvSpPr>
          <xdr:spPr>
            <a:xfrm>
              <a:off x="3078480" y="19050000"/>
              <a:ext cx="1001428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𝑟𝑎𝑡𝑖𝑜,𝑖)^∗&lt;1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375920</xdr:colOff>
      <xdr:row>80</xdr:row>
      <xdr:rowOff>20320</xdr:rowOff>
    </xdr:from>
    <xdr:ext cx="1001043" cy="2656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00000000-0008-0000-0300-00005F000000}"/>
                </a:ext>
              </a:extLst>
            </xdr:cNvPr>
            <xdr:cNvSpPr txBox="1"/>
          </xdr:nvSpPr>
          <xdr:spPr>
            <a:xfrm>
              <a:off x="3058160" y="19588480"/>
              <a:ext cx="1001043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2B45FEB0-0E10-7A43-AABF-9E225C28C7E0}"/>
                </a:ext>
              </a:extLst>
            </xdr:cNvPr>
            <xdr:cNvSpPr txBox="1"/>
          </xdr:nvSpPr>
          <xdr:spPr>
            <a:xfrm>
              <a:off x="3058160" y="19588480"/>
              <a:ext cx="1001043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𝑟𝑎𝑡𝑖𝑜,𝑖)^∗=0</a:t>
              </a:r>
              <a:endParaRPr lang="en-US" sz="1600"/>
            </a:p>
          </xdr:txBody>
        </xdr:sp>
      </mc:Fallback>
    </mc:AlternateContent>
    <xdr:clientData/>
  </xdr:oneCellAnchor>
  <xdr:twoCellAnchor editAs="oneCell">
    <xdr:from>
      <xdr:col>14</xdr:col>
      <xdr:colOff>825499</xdr:colOff>
      <xdr:row>0</xdr:row>
      <xdr:rowOff>215900</xdr:rowOff>
    </xdr:from>
    <xdr:to>
      <xdr:col>20</xdr:col>
      <xdr:colOff>632374</xdr:colOff>
      <xdr:row>11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12699" y="215900"/>
          <a:ext cx="4836075" cy="2501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508000</xdr:colOff>
          <xdr:row>0</xdr:row>
          <xdr:rowOff>114300</xdr:rowOff>
        </xdr:from>
        <xdr:to>
          <xdr:col>7</xdr:col>
          <xdr:colOff>952500</xdr:colOff>
          <xdr:row>4</xdr:row>
          <xdr:rowOff>50800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5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to compute flow depth and sediment load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1244600</xdr:colOff>
          <xdr:row>0</xdr:row>
          <xdr:rowOff>88900</xdr:rowOff>
        </xdr:from>
        <xdr:to>
          <xdr:col>10</xdr:col>
          <xdr:colOff>228600</xdr:colOff>
          <xdr:row>4</xdr:row>
          <xdr:rowOff>38100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5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to compute floodplain thickness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615A4-F6C9-A249-A237-2768233FFDA5}">
  <sheetPr codeName="Sheet5"/>
  <dimension ref="A2:K7"/>
  <sheetViews>
    <sheetView workbookViewId="0">
      <selection activeCell="F23" sqref="F23"/>
    </sheetView>
  </sheetViews>
  <sheetFormatPr baseColWidth="10" defaultColWidth="10.83203125" defaultRowHeight="15" x14ac:dyDescent="0.2"/>
  <cols>
    <col min="1" max="16384" width="10.83203125" style="77"/>
  </cols>
  <sheetData>
    <row r="2" spans="1:11" ht="17" thickBot="1" x14ac:dyDescent="0.2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1" ht="21" x14ac:dyDescent="0.25">
      <c r="A3" s="100"/>
      <c r="B3" s="13" t="s">
        <v>32</v>
      </c>
      <c r="C3" s="14"/>
      <c r="D3" s="14"/>
      <c r="E3" s="14"/>
      <c r="F3" s="14"/>
      <c r="G3" s="14"/>
      <c r="H3" s="14"/>
      <c r="I3" s="15"/>
      <c r="J3" s="100"/>
      <c r="K3" s="100"/>
    </row>
    <row r="4" spans="1:11" ht="21" x14ac:dyDescent="0.25">
      <c r="A4" s="100"/>
      <c r="B4" s="16" t="s">
        <v>50</v>
      </c>
      <c r="C4" s="17"/>
      <c r="D4" s="17"/>
      <c r="E4" s="17"/>
      <c r="F4" s="17"/>
      <c r="G4" s="17"/>
      <c r="H4" s="17"/>
      <c r="I4" s="18"/>
      <c r="J4" s="100"/>
      <c r="K4" s="100"/>
    </row>
    <row r="5" spans="1:11" ht="21" x14ac:dyDescent="0.25">
      <c r="A5" s="100"/>
      <c r="B5" s="16" t="s">
        <v>51</v>
      </c>
      <c r="C5" s="19"/>
      <c r="D5" s="19"/>
      <c r="E5" s="17"/>
      <c r="F5" s="17"/>
      <c r="G5" s="17"/>
      <c r="H5" s="17"/>
      <c r="I5" s="18"/>
      <c r="J5" s="100"/>
      <c r="K5" s="100"/>
    </row>
    <row r="6" spans="1:11" ht="22" thickBot="1" x14ac:dyDescent="0.3">
      <c r="A6" s="100"/>
      <c r="B6" s="20" t="s">
        <v>33</v>
      </c>
      <c r="C6" s="21"/>
      <c r="D6" s="21"/>
      <c r="E6" s="22"/>
      <c r="F6" s="22"/>
      <c r="G6" s="22"/>
      <c r="H6" s="22"/>
      <c r="I6" s="23"/>
      <c r="J6" s="100"/>
      <c r="K6" s="100"/>
    </row>
    <row r="7" spans="1:11" ht="21" x14ac:dyDescent="0.25">
      <c r="A7" s="100"/>
      <c r="B7" s="101"/>
      <c r="C7" s="102"/>
      <c r="D7" s="102"/>
      <c r="E7" s="100"/>
      <c r="F7" s="100"/>
      <c r="G7" s="100"/>
      <c r="H7" s="100"/>
      <c r="I7" s="100"/>
      <c r="J7" s="100"/>
      <c r="K7" s="10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D7BE-3E3A-A741-95A2-8ABEF9B4FDBF}">
  <sheetPr codeName="Sheet7"/>
  <dimension ref="B2:S119"/>
  <sheetViews>
    <sheetView topLeftCell="A70" zoomScale="108" workbookViewId="0">
      <selection activeCell="A81" sqref="A81:C82"/>
    </sheetView>
  </sheetViews>
  <sheetFormatPr baseColWidth="10" defaultColWidth="11" defaultRowHeight="19" x14ac:dyDescent="0.25"/>
  <cols>
    <col min="1" max="1" width="11" style="73"/>
    <col min="2" max="2" width="13" style="73" customWidth="1"/>
    <col min="3" max="16384" width="11" style="73"/>
  </cols>
  <sheetData>
    <row r="2" spans="2:3" ht="21" x14ac:dyDescent="0.25">
      <c r="B2" s="74" t="s">
        <v>31</v>
      </c>
    </row>
    <row r="3" spans="2:3" ht="21" x14ac:dyDescent="0.25">
      <c r="B3" s="74"/>
    </row>
    <row r="4" spans="2:3" x14ac:dyDescent="0.25">
      <c r="B4" s="76" t="s">
        <v>107</v>
      </c>
    </row>
    <row r="5" spans="2:3" ht="21" x14ac:dyDescent="0.25">
      <c r="B5" s="74"/>
    </row>
    <row r="6" spans="2:3" x14ac:dyDescent="0.25">
      <c r="B6" s="78" t="s">
        <v>150</v>
      </c>
      <c r="C6" s="73" t="s">
        <v>278</v>
      </c>
    </row>
    <row r="7" spans="2:3" x14ac:dyDescent="0.25">
      <c r="B7" s="78" t="s">
        <v>151</v>
      </c>
      <c r="C7" s="73" t="s">
        <v>279</v>
      </c>
    </row>
    <row r="8" spans="2:3" x14ac:dyDescent="0.25">
      <c r="B8" s="75" t="s">
        <v>108</v>
      </c>
      <c r="C8" s="73" t="s">
        <v>313</v>
      </c>
    </row>
    <row r="9" spans="2:3" x14ac:dyDescent="0.25">
      <c r="B9" s="75" t="s">
        <v>109</v>
      </c>
      <c r="C9" s="73" t="s">
        <v>348</v>
      </c>
    </row>
    <row r="10" spans="2:3" x14ac:dyDescent="0.25">
      <c r="B10" s="78" t="s">
        <v>89</v>
      </c>
      <c r="C10" s="73" t="s">
        <v>67</v>
      </c>
    </row>
    <row r="11" spans="2:3" x14ac:dyDescent="0.25">
      <c r="B11" s="78" t="s">
        <v>103</v>
      </c>
      <c r="C11" s="73" t="s">
        <v>104</v>
      </c>
    </row>
    <row r="12" spans="2:3" x14ac:dyDescent="0.25">
      <c r="B12" s="75" t="s">
        <v>11</v>
      </c>
      <c r="C12" s="73" t="s">
        <v>222</v>
      </c>
    </row>
    <row r="13" spans="2:3" x14ac:dyDescent="0.25">
      <c r="B13" s="75" t="s">
        <v>114</v>
      </c>
      <c r="C13" s="73" t="s">
        <v>223</v>
      </c>
    </row>
    <row r="14" spans="2:3" x14ac:dyDescent="0.25">
      <c r="B14" s="78" t="s">
        <v>280</v>
      </c>
      <c r="C14" s="73" t="s">
        <v>157</v>
      </c>
    </row>
    <row r="15" spans="2:3" x14ac:dyDescent="0.25">
      <c r="B15" s="78" t="s">
        <v>281</v>
      </c>
      <c r="C15" s="73" t="s">
        <v>158</v>
      </c>
    </row>
    <row r="16" spans="2:3" x14ac:dyDescent="0.25">
      <c r="B16" s="78" t="s">
        <v>10</v>
      </c>
      <c r="C16" s="73" t="s">
        <v>68</v>
      </c>
    </row>
    <row r="17" spans="2:18" x14ac:dyDescent="0.25">
      <c r="B17" s="78" t="s">
        <v>220</v>
      </c>
      <c r="C17" s="73" t="s">
        <v>69</v>
      </c>
    </row>
    <row r="18" spans="2:18" x14ac:dyDescent="0.25">
      <c r="B18" s="78" t="s">
        <v>7</v>
      </c>
      <c r="C18" s="73" t="s">
        <v>70</v>
      </c>
    </row>
    <row r="19" spans="2:18" x14ac:dyDescent="0.25">
      <c r="B19" s="87" t="s">
        <v>194</v>
      </c>
      <c r="C19" s="73" t="s">
        <v>362</v>
      </c>
    </row>
    <row r="20" spans="2:18" x14ac:dyDescent="0.25">
      <c r="B20" s="78" t="s">
        <v>162</v>
      </c>
      <c r="C20" s="73" t="s">
        <v>163</v>
      </c>
    </row>
    <row r="21" spans="2:18" x14ac:dyDescent="0.25">
      <c r="B21" s="78" t="s">
        <v>88</v>
      </c>
      <c r="C21" s="73" t="s">
        <v>71</v>
      </c>
    </row>
    <row r="22" spans="2:18" x14ac:dyDescent="0.25">
      <c r="B22" s="75" t="s">
        <v>105</v>
      </c>
      <c r="C22" s="73" t="s">
        <v>72</v>
      </c>
    </row>
    <row r="23" spans="2:18" x14ac:dyDescent="0.25">
      <c r="B23" s="75" t="s">
        <v>124</v>
      </c>
      <c r="C23" s="73" t="s">
        <v>149</v>
      </c>
      <c r="G23" s="88"/>
      <c r="H23" s="89"/>
      <c r="Q23" s="80"/>
    </row>
    <row r="24" spans="2:18" x14ac:dyDescent="0.25">
      <c r="B24" s="75" t="s">
        <v>164</v>
      </c>
      <c r="C24" s="73" t="s">
        <v>165</v>
      </c>
      <c r="Q24" s="80"/>
    </row>
    <row r="25" spans="2:18" x14ac:dyDescent="0.25">
      <c r="B25" s="75" t="s">
        <v>1</v>
      </c>
      <c r="C25" s="73" t="s">
        <v>146</v>
      </c>
      <c r="Q25" s="80"/>
    </row>
    <row r="26" spans="2:18" x14ac:dyDescent="0.25">
      <c r="B26" s="75" t="s">
        <v>141</v>
      </c>
      <c r="C26" s="73" t="s">
        <v>355</v>
      </c>
      <c r="Q26" s="80"/>
    </row>
    <row r="27" spans="2:18" x14ac:dyDescent="0.25">
      <c r="B27" s="75" t="s">
        <v>368</v>
      </c>
      <c r="C27" s="73" t="s">
        <v>369</v>
      </c>
      <c r="Q27" s="80"/>
    </row>
    <row r="28" spans="2:18" x14ac:dyDescent="0.25">
      <c r="B28" s="79" t="s">
        <v>141</v>
      </c>
      <c r="C28" s="73" t="s">
        <v>366</v>
      </c>
      <c r="Q28" s="80"/>
    </row>
    <row r="29" spans="2:18" x14ac:dyDescent="0.25">
      <c r="B29" s="81" t="s">
        <v>92</v>
      </c>
      <c r="C29" s="73" t="s">
        <v>367</v>
      </c>
      <c r="Q29" s="80"/>
    </row>
    <row r="30" spans="2:18" x14ac:dyDescent="0.25">
      <c r="B30" s="79" t="s">
        <v>160</v>
      </c>
      <c r="C30" s="73" t="s">
        <v>161</v>
      </c>
      <c r="O30" s="90"/>
      <c r="P30" s="91"/>
      <c r="Q30" s="92"/>
      <c r="R30" s="93"/>
    </row>
    <row r="31" spans="2:18" x14ac:dyDescent="0.25">
      <c r="B31" s="81" t="s">
        <v>159</v>
      </c>
      <c r="C31" s="73" t="s">
        <v>224</v>
      </c>
      <c r="M31" s="90"/>
      <c r="N31" s="91"/>
      <c r="Q31" s="80"/>
      <c r="R31" s="94"/>
    </row>
    <row r="32" spans="2:18" x14ac:dyDescent="0.25">
      <c r="B32" s="81" t="s">
        <v>156</v>
      </c>
      <c r="C32" s="73" t="s">
        <v>225</v>
      </c>
      <c r="M32" s="95"/>
      <c r="N32" s="96"/>
      <c r="O32" s="96"/>
      <c r="P32" s="96"/>
      <c r="Q32" s="97"/>
      <c r="R32" s="98"/>
    </row>
    <row r="33" spans="2:19" x14ac:dyDescent="0.25">
      <c r="B33" s="78" t="s">
        <v>143</v>
      </c>
      <c r="C33" s="73" t="s">
        <v>291</v>
      </c>
      <c r="Q33" s="80"/>
    </row>
    <row r="34" spans="2:19" x14ac:dyDescent="0.25">
      <c r="B34" s="78" t="s">
        <v>153</v>
      </c>
      <c r="C34" s="73" t="s">
        <v>290</v>
      </c>
      <c r="O34" s="90"/>
      <c r="P34" s="91"/>
      <c r="Q34" s="92"/>
      <c r="R34" s="91"/>
      <c r="S34" s="93"/>
    </row>
    <row r="35" spans="2:19" x14ac:dyDescent="0.25">
      <c r="B35" s="78" t="s">
        <v>154</v>
      </c>
      <c r="C35" s="73" t="s">
        <v>356</v>
      </c>
      <c r="M35" s="90"/>
      <c r="N35" s="91"/>
      <c r="Q35" s="80"/>
      <c r="S35" s="94"/>
    </row>
    <row r="36" spans="2:19" x14ac:dyDescent="0.25">
      <c r="B36" s="78" t="s">
        <v>155</v>
      </c>
      <c r="C36" s="73" t="s">
        <v>357</v>
      </c>
      <c r="M36" s="95"/>
      <c r="N36" s="96"/>
      <c r="O36" s="96"/>
      <c r="P36" s="96"/>
      <c r="Q36" s="97"/>
      <c r="R36" s="96"/>
      <c r="S36" s="98"/>
    </row>
    <row r="37" spans="2:19" x14ac:dyDescent="0.25">
      <c r="B37" s="78" t="s">
        <v>144</v>
      </c>
      <c r="C37" s="73" t="s">
        <v>358</v>
      </c>
      <c r="Q37" s="80"/>
    </row>
    <row r="38" spans="2:19" x14ac:dyDescent="0.25">
      <c r="B38" s="75" t="s">
        <v>145</v>
      </c>
      <c r="C38" s="73" t="s">
        <v>226</v>
      </c>
      <c r="Q38" s="80"/>
    </row>
    <row r="39" spans="2:19" x14ac:dyDescent="0.25">
      <c r="B39" s="75" t="s">
        <v>166</v>
      </c>
      <c r="C39" s="73" t="s">
        <v>227</v>
      </c>
      <c r="Q39" s="80"/>
    </row>
    <row r="40" spans="2:19" x14ac:dyDescent="0.25">
      <c r="B40" s="81" t="s">
        <v>148</v>
      </c>
      <c r="C40" s="73" t="s">
        <v>147</v>
      </c>
      <c r="E40" s="88"/>
      <c r="F40" s="89"/>
      <c r="Q40" s="80"/>
    </row>
    <row r="41" spans="2:19" x14ac:dyDescent="0.25">
      <c r="B41" s="75" t="s">
        <v>90</v>
      </c>
      <c r="C41" s="73" t="s">
        <v>73</v>
      </c>
      <c r="Q41" s="80"/>
    </row>
    <row r="42" spans="2:19" x14ac:dyDescent="0.25">
      <c r="B42" s="75" t="s">
        <v>91</v>
      </c>
      <c r="C42" s="73" t="s">
        <v>74</v>
      </c>
    </row>
    <row r="43" spans="2:19" x14ac:dyDescent="0.25">
      <c r="B43" s="81" t="s">
        <v>93</v>
      </c>
      <c r="C43" s="73" t="s">
        <v>363</v>
      </c>
      <c r="I43" s="90"/>
      <c r="J43" s="91"/>
      <c r="K43" s="91"/>
      <c r="L43" s="93"/>
    </row>
    <row r="44" spans="2:19" x14ac:dyDescent="0.25">
      <c r="B44" s="75" t="s">
        <v>66</v>
      </c>
      <c r="C44" s="73" t="s">
        <v>364</v>
      </c>
      <c r="I44" s="95"/>
      <c r="J44" s="96"/>
      <c r="K44" s="96"/>
      <c r="L44" s="98"/>
    </row>
    <row r="45" spans="2:19" x14ac:dyDescent="0.25">
      <c r="B45" s="75" t="s">
        <v>94</v>
      </c>
      <c r="C45" s="73" t="s">
        <v>228</v>
      </c>
      <c r="P45" s="90"/>
      <c r="Q45" s="93"/>
    </row>
    <row r="46" spans="2:19" x14ac:dyDescent="0.25">
      <c r="B46" s="75" t="s">
        <v>95</v>
      </c>
      <c r="C46" s="73" t="s">
        <v>229</v>
      </c>
      <c r="P46" s="95"/>
      <c r="Q46" s="98"/>
    </row>
    <row r="47" spans="2:19" x14ac:dyDescent="0.25">
      <c r="B47" s="79" t="s">
        <v>96</v>
      </c>
      <c r="C47" s="73" t="s">
        <v>230</v>
      </c>
    </row>
    <row r="48" spans="2:19" x14ac:dyDescent="0.25">
      <c r="B48" s="81" t="s">
        <v>97</v>
      </c>
      <c r="C48" s="73" t="s">
        <v>231</v>
      </c>
      <c r="I48" s="90"/>
      <c r="J48" s="91"/>
      <c r="K48" s="91" t="s">
        <v>75</v>
      </c>
      <c r="L48" s="91"/>
      <c r="M48" s="91"/>
      <c r="N48" s="93"/>
    </row>
    <row r="49" spans="2:14" x14ac:dyDescent="0.25">
      <c r="B49" s="81" t="s">
        <v>98</v>
      </c>
      <c r="C49" s="73" t="s">
        <v>365</v>
      </c>
      <c r="I49" s="95"/>
      <c r="J49" s="96"/>
      <c r="K49" s="96"/>
      <c r="L49" s="96"/>
      <c r="M49" s="96"/>
      <c r="N49" s="98"/>
    </row>
    <row r="50" spans="2:14" x14ac:dyDescent="0.25">
      <c r="B50" s="81" t="s">
        <v>99</v>
      </c>
      <c r="C50" s="73" t="s">
        <v>232</v>
      </c>
    </row>
    <row r="51" spans="2:14" x14ac:dyDescent="0.25">
      <c r="B51" s="81" t="s">
        <v>100</v>
      </c>
      <c r="C51" s="73" t="s">
        <v>233</v>
      </c>
    </row>
    <row r="52" spans="2:14" x14ac:dyDescent="0.25">
      <c r="B52" s="75" t="s">
        <v>28</v>
      </c>
      <c r="C52" s="73" t="s">
        <v>234</v>
      </c>
    </row>
    <row r="53" spans="2:14" x14ac:dyDescent="0.25">
      <c r="B53" s="75" t="s">
        <v>78</v>
      </c>
      <c r="C53" s="73" t="s">
        <v>235</v>
      </c>
    </row>
    <row r="54" spans="2:14" x14ac:dyDescent="0.25">
      <c r="B54" s="75" t="s">
        <v>79</v>
      </c>
      <c r="C54" s="73" t="s">
        <v>236</v>
      </c>
    </row>
    <row r="55" spans="2:14" x14ac:dyDescent="0.25">
      <c r="B55" s="75" t="s">
        <v>115</v>
      </c>
      <c r="C55" s="73" t="s">
        <v>237</v>
      </c>
      <c r="G55" s="99"/>
    </row>
    <row r="56" spans="2:14" x14ac:dyDescent="0.25">
      <c r="B56" s="75" t="s">
        <v>80</v>
      </c>
      <c r="C56" s="73" t="s">
        <v>238</v>
      </c>
    </row>
    <row r="57" spans="2:14" x14ac:dyDescent="0.25">
      <c r="B57" s="75" t="s">
        <v>81</v>
      </c>
      <c r="C57" s="73" t="s">
        <v>239</v>
      </c>
    </row>
    <row r="58" spans="2:14" x14ac:dyDescent="0.25">
      <c r="B58" s="75" t="s">
        <v>82</v>
      </c>
      <c r="C58" s="73" t="s">
        <v>240</v>
      </c>
    </row>
    <row r="59" spans="2:14" x14ac:dyDescent="0.25">
      <c r="B59" s="75" t="s">
        <v>83</v>
      </c>
      <c r="C59" s="73" t="s">
        <v>241</v>
      </c>
    </row>
    <row r="60" spans="2:14" x14ac:dyDescent="0.25">
      <c r="B60" s="75" t="s">
        <v>116</v>
      </c>
      <c r="C60" s="73" t="s">
        <v>360</v>
      </c>
      <c r="M60" s="90"/>
      <c r="N60" s="93"/>
    </row>
    <row r="61" spans="2:14" x14ac:dyDescent="0.25">
      <c r="B61" s="75" t="s">
        <v>117</v>
      </c>
      <c r="C61" s="73" t="s">
        <v>361</v>
      </c>
      <c r="M61" s="95"/>
      <c r="N61" s="98"/>
    </row>
    <row r="62" spans="2:14" x14ac:dyDescent="0.25">
      <c r="B62" s="75" t="s">
        <v>221</v>
      </c>
      <c r="C62" s="73" t="s">
        <v>242</v>
      </c>
    </row>
    <row r="63" spans="2:14" x14ac:dyDescent="0.25">
      <c r="B63" s="75" t="s">
        <v>119</v>
      </c>
      <c r="C63" s="73" t="s">
        <v>243</v>
      </c>
    </row>
    <row r="64" spans="2:14" x14ac:dyDescent="0.25">
      <c r="B64" s="75" t="s">
        <v>173</v>
      </c>
      <c r="C64" s="73" t="s">
        <v>284</v>
      </c>
    </row>
    <row r="65" spans="2:3" x14ac:dyDescent="0.25">
      <c r="B65" s="75" t="s">
        <v>168</v>
      </c>
      <c r="C65" s="73" t="s">
        <v>244</v>
      </c>
    </row>
    <row r="66" spans="2:3" x14ac:dyDescent="0.25">
      <c r="B66" s="75" t="s">
        <v>120</v>
      </c>
      <c r="C66" s="73" t="s">
        <v>245</v>
      </c>
    </row>
    <row r="67" spans="2:3" x14ac:dyDescent="0.25">
      <c r="B67" s="82" t="s">
        <v>177</v>
      </c>
      <c r="C67" s="73" t="s">
        <v>246</v>
      </c>
    </row>
    <row r="68" spans="2:3" x14ac:dyDescent="0.25">
      <c r="B68" s="75" t="s">
        <v>121</v>
      </c>
      <c r="C68" s="73" t="s">
        <v>152</v>
      </c>
    </row>
    <row r="69" spans="2:3" x14ac:dyDescent="0.25">
      <c r="B69" s="75" t="s">
        <v>15</v>
      </c>
      <c r="C69" s="73" t="s">
        <v>247</v>
      </c>
    </row>
    <row r="70" spans="2:3" x14ac:dyDescent="0.25">
      <c r="B70" s="75" t="s">
        <v>16</v>
      </c>
      <c r="C70" s="73" t="s">
        <v>248</v>
      </c>
    </row>
    <row r="71" spans="2:3" x14ac:dyDescent="0.25">
      <c r="B71" s="111" t="s">
        <v>300</v>
      </c>
      <c r="C71" s="109" t="s">
        <v>301</v>
      </c>
    </row>
    <row r="72" spans="2:3" x14ac:dyDescent="0.25">
      <c r="B72" s="75" t="s">
        <v>175</v>
      </c>
      <c r="C72" s="73" t="s">
        <v>249</v>
      </c>
    </row>
    <row r="73" spans="2:3" x14ac:dyDescent="0.25">
      <c r="B73" s="81" t="s">
        <v>176</v>
      </c>
      <c r="C73" s="73" t="s">
        <v>294</v>
      </c>
    </row>
    <row r="74" spans="2:3" x14ac:dyDescent="0.25">
      <c r="B74" s="75" t="s">
        <v>167</v>
      </c>
      <c r="C74" s="73" t="s">
        <v>250</v>
      </c>
    </row>
    <row r="75" spans="2:3" x14ac:dyDescent="0.25">
      <c r="B75" s="75" t="s">
        <v>302</v>
      </c>
      <c r="C75" s="73" t="s">
        <v>333</v>
      </c>
    </row>
    <row r="76" spans="2:3" x14ac:dyDescent="0.25">
      <c r="B76" s="75" t="s">
        <v>27</v>
      </c>
      <c r="C76" s="73" t="s">
        <v>251</v>
      </c>
    </row>
    <row r="77" spans="2:3" x14ac:dyDescent="0.25">
      <c r="B77" s="75" t="s">
        <v>169</v>
      </c>
      <c r="C77" s="73" t="s">
        <v>252</v>
      </c>
    </row>
    <row r="78" spans="2:3" x14ac:dyDescent="0.25">
      <c r="B78" s="81" t="s">
        <v>178</v>
      </c>
      <c r="C78" s="73" t="s">
        <v>253</v>
      </c>
    </row>
    <row r="79" spans="2:3" x14ac:dyDescent="0.25">
      <c r="B79" s="81" t="s">
        <v>298</v>
      </c>
      <c r="C79" s="109" t="s">
        <v>299</v>
      </c>
    </row>
    <row r="80" spans="2:3" x14ac:dyDescent="0.25">
      <c r="B80" s="73" t="s">
        <v>174</v>
      </c>
      <c r="C80" s="73" t="s">
        <v>254</v>
      </c>
    </row>
    <row r="81" spans="2:16" x14ac:dyDescent="0.25">
      <c r="B81" s="73" t="s">
        <v>183</v>
      </c>
      <c r="C81" s="73" t="s">
        <v>255</v>
      </c>
    </row>
    <row r="82" spans="2:16" x14ac:dyDescent="0.25">
      <c r="B82" s="73" t="s">
        <v>184</v>
      </c>
      <c r="C82" s="73" t="str">
        <f>C81</f>
        <v>Near bank flow velocity (m/s)  [Johannesson and Parker, 1989]</v>
      </c>
    </row>
    <row r="83" spans="2:16" x14ac:dyDescent="0.25">
      <c r="B83" s="83" t="s">
        <v>187</v>
      </c>
      <c r="C83" s="73" t="s">
        <v>256</v>
      </c>
    </row>
    <row r="84" spans="2:16" x14ac:dyDescent="0.25">
      <c r="B84" s="83" t="s">
        <v>188</v>
      </c>
      <c r="C84" s="73" t="str">
        <f>C83</f>
        <v>Near bank Shields number (-)  [Johannesson and Parker, 1989]</v>
      </c>
    </row>
    <row r="85" spans="2:16" x14ac:dyDescent="0.25">
      <c r="B85" s="73" t="s">
        <v>179</v>
      </c>
      <c r="C85" s="73" t="s">
        <v>257</v>
      </c>
    </row>
    <row r="86" spans="2:16" x14ac:dyDescent="0.25">
      <c r="B86" s="73" t="s">
        <v>180</v>
      </c>
      <c r="C86" s="73" t="s">
        <v>258</v>
      </c>
    </row>
    <row r="87" spans="2:16" x14ac:dyDescent="0.25">
      <c r="B87" s="73" t="s">
        <v>181</v>
      </c>
      <c r="C87" s="73" t="s">
        <v>259</v>
      </c>
    </row>
    <row r="88" spans="2:16" x14ac:dyDescent="0.25">
      <c r="B88" s="73" t="s">
        <v>182</v>
      </c>
      <c r="C88" s="73" t="s">
        <v>260</v>
      </c>
    </row>
    <row r="89" spans="2:16" x14ac:dyDescent="0.25">
      <c r="B89" s="83" t="s">
        <v>185</v>
      </c>
      <c r="C89" s="73" t="s">
        <v>261</v>
      </c>
    </row>
    <row r="90" spans="2:16" x14ac:dyDescent="0.25">
      <c r="B90" s="83" t="s">
        <v>186</v>
      </c>
      <c r="C90" s="73" t="str">
        <f>C89</f>
        <v>Bank migration rate (m/yr) [Eke et al., 2014]</v>
      </c>
    </row>
    <row r="91" spans="2:16" x14ac:dyDescent="0.25">
      <c r="B91" s="75" t="s">
        <v>13</v>
      </c>
      <c r="C91" s="73" t="s">
        <v>359</v>
      </c>
      <c r="H91" s="90"/>
      <c r="I91" s="91"/>
      <c r="J91" s="91"/>
      <c r="K91" s="93"/>
    </row>
    <row r="92" spans="2:16" x14ac:dyDescent="0.25">
      <c r="B92" s="73" t="s">
        <v>17</v>
      </c>
      <c r="C92" s="73" t="s">
        <v>262</v>
      </c>
      <c r="H92" s="95"/>
      <c r="I92" s="96"/>
      <c r="J92" s="96"/>
      <c r="K92" s="98"/>
    </row>
    <row r="93" spans="2:16" x14ac:dyDescent="0.25">
      <c r="B93" s="75" t="s">
        <v>118</v>
      </c>
      <c r="C93" s="73" t="s">
        <v>282</v>
      </c>
      <c r="L93" s="90"/>
      <c r="M93" s="91"/>
      <c r="N93" s="91"/>
      <c r="O93" s="91"/>
      <c r="P93" s="93"/>
    </row>
    <row r="94" spans="2:16" x14ac:dyDescent="0.25">
      <c r="B94" s="79" t="s">
        <v>48</v>
      </c>
      <c r="C94" s="73" t="s">
        <v>283</v>
      </c>
      <c r="L94" s="95"/>
      <c r="M94" s="96"/>
      <c r="N94" s="96"/>
      <c r="O94" s="96"/>
      <c r="P94" s="98"/>
    </row>
    <row r="96" spans="2:16" ht="21" x14ac:dyDescent="0.25">
      <c r="B96" s="74"/>
    </row>
    <row r="97" spans="2:2" x14ac:dyDescent="0.25">
      <c r="B97" s="84"/>
    </row>
    <row r="98" spans="2:2" x14ac:dyDescent="0.25">
      <c r="B98" s="85"/>
    </row>
    <row r="99" spans="2:2" x14ac:dyDescent="0.25">
      <c r="B99" s="85"/>
    </row>
    <row r="100" spans="2:2" x14ac:dyDescent="0.25">
      <c r="B100" s="86"/>
    </row>
    <row r="101" spans="2:2" x14ac:dyDescent="0.25">
      <c r="B101" s="84"/>
    </row>
    <row r="102" spans="2:2" x14ac:dyDescent="0.25">
      <c r="B102" s="86"/>
    </row>
    <row r="103" spans="2:2" x14ac:dyDescent="0.25">
      <c r="B103" s="86"/>
    </row>
    <row r="105" spans="2:2" x14ac:dyDescent="0.25">
      <c r="B105" s="84"/>
    </row>
    <row r="106" spans="2:2" x14ac:dyDescent="0.25">
      <c r="B106" s="86"/>
    </row>
    <row r="107" spans="2:2" x14ac:dyDescent="0.25">
      <c r="B107" s="86"/>
    </row>
    <row r="108" spans="2:2" x14ac:dyDescent="0.25">
      <c r="B108" s="86"/>
    </row>
    <row r="109" spans="2:2" x14ac:dyDescent="0.25">
      <c r="B109" s="86"/>
    </row>
    <row r="110" spans="2:2" x14ac:dyDescent="0.25">
      <c r="B110" s="84"/>
    </row>
    <row r="111" spans="2:2" x14ac:dyDescent="0.25">
      <c r="B111" s="84"/>
    </row>
    <row r="112" spans="2:2" x14ac:dyDescent="0.25">
      <c r="B112" s="84"/>
    </row>
    <row r="113" spans="2:2" x14ac:dyDescent="0.25">
      <c r="B113" s="86"/>
    </row>
    <row r="114" spans="2:2" x14ac:dyDescent="0.25">
      <c r="B114" s="84"/>
    </row>
    <row r="115" spans="2:2" x14ac:dyDescent="0.25">
      <c r="B115" s="84"/>
    </row>
    <row r="116" spans="2:2" x14ac:dyDescent="0.25">
      <c r="B116" s="84"/>
    </row>
    <row r="117" spans="2:2" x14ac:dyDescent="0.25">
      <c r="B117" s="84"/>
    </row>
    <row r="118" spans="2:2" x14ac:dyDescent="0.25">
      <c r="B118" s="84"/>
    </row>
    <row r="119" spans="2:2" x14ac:dyDescent="0.25">
      <c r="B119" s="8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4583E-209D-BB4E-B1D6-CE89FBDB54FC}">
  <sheetPr codeName="Sheet4"/>
  <dimension ref="B2:Q119"/>
  <sheetViews>
    <sheetView topLeftCell="A2" zoomScale="101" zoomScaleNormal="100" workbookViewId="0">
      <selection activeCell="H38" sqref="H38"/>
    </sheetView>
  </sheetViews>
  <sheetFormatPr baseColWidth="10" defaultColWidth="11" defaultRowHeight="19" x14ac:dyDescent="0.25"/>
  <cols>
    <col min="1" max="1" width="11" style="73"/>
    <col min="2" max="2" width="13" style="73" customWidth="1"/>
    <col min="3" max="16384" width="11" style="73"/>
  </cols>
  <sheetData>
    <row r="2" spans="2:10" ht="21" x14ac:dyDescent="0.25">
      <c r="B2" s="74" t="s">
        <v>285</v>
      </c>
      <c r="I2" s="73" t="s">
        <v>286</v>
      </c>
    </row>
    <row r="3" spans="2:10" x14ac:dyDescent="0.25">
      <c r="I3" s="75" t="s">
        <v>105</v>
      </c>
      <c r="J3" s="73" t="s">
        <v>72</v>
      </c>
    </row>
    <row r="4" spans="2:10" x14ac:dyDescent="0.25">
      <c r="B4" s="76"/>
      <c r="I4" s="75" t="s">
        <v>124</v>
      </c>
      <c r="J4" s="73" t="s">
        <v>149</v>
      </c>
    </row>
    <row r="5" spans="2:10" x14ac:dyDescent="0.25">
      <c r="B5" s="77"/>
      <c r="I5" s="78" t="s">
        <v>143</v>
      </c>
      <c r="J5" s="73" t="s">
        <v>291</v>
      </c>
    </row>
    <row r="6" spans="2:10" x14ac:dyDescent="0.25">
      <c r="B6" s="78"/>
      <c r="I6" s="78" t="s">
        <v>89</v>
      </c>
      <c r="J6" s="73" t="s">
        <v>67</v>
      </c>
    </row>
    <row r="7" spans="2:10" x14ac:dyDescent="0.25">
      <c r="B7" s="78"/>
      <c r="I7" s="78" t="s">
        <v>103</v>
      </c>
      <c r="J7" s="73" t="s">
        <v>104</v>
      </c>
    </row>
    <row r="8" spans="2:10" x14ac:dyDescent="0.25">
      <c r="B8" s="75"/>
      <c r="I8" s="75" t="s">
        <v>11</v>
      </c>
      <c r="J8" s="73" t="s">
        <v>222</v>
      </c>
    </row>
    <row r="9" spans="2:10" x14ac:dyDescent="0.25">
      <c r="B9" s="75"/>
      <c r="I9" s="75" t="s">
        <v>114</v>
      </c>
      <c r="J9" s="73" t="s">
        <v>223</v>
      </c>
    </row>
    <row r="10" spans="2:10" x14ac:dyDescent="0.25">
      <c r="B10" s="78"/>
      <c r="I10" s="79" t="s">
        <v>96</v>
      </c>
      <c r="J10" s="73" t="s">
        <v>230</v>
      </c>
    </row>
    <row r="11" spans="2:10" x14ac:dyDescent="0.25">
      <c r="B11" s="78"/>
      <c r="I11" s="75" t="s">
        <v>115</v>
      </c>
      <c r="J11" s="73" t="s">
        <v>237</v>
      </c>
    </row>
    <row r="12" spans="2:10" x14ac:dyDescent="0.25">
      <c r="B12" s="75"/>
    </row>
    <row r="13" spans="2:10" x14ac:dyDescent="0.25">
      <c r="B13" s="75"/>
      <c r="I13" s="73" t="s">
        <v>287</v>
      </c>
    </row>
    <row r="14" spans="2:10" x14ac:dyDescent="0.25">
      <c r="B14" s="78"/>
      <c r="I14" s="78" t="s">
        <v>288</v>
      </c>
      <c r="J14" s="73" t="s">
        <v>289</v>
      </c>
    </row>
    <row r="15" spans="2:10" x14ac:dyDescent="0.25">
      <c r="B15" s="78"/>
      <c r="I15" s="78" t="s">
        <v>153</v>
      </c>
      <c r="J15" s="73" t="s">
        <v>290</v>
      </c>
    </row>
    <row r="16" spans="2:10" x14ac:dyDescent="0.25">
      <c r="B16" s="78"/>
      <c r="I16" s="75" t="s">
        <v>145</v>
      </c>
      <c r="J16" s="73" t="s">
        <v>226</v>
      </c>
    </row>
    <row r="17" spans="2:17" x14ac:dyDescent="0.25">
      <c r="B17" s="78"/>
      <c r="I17" s="75" t="s">
        <v>166</v>
      </c>
      <c r="J17" s="73" t="s">
        <v>227</v>
      </c>
    </row>
    <row r="18" spans="2:17" x14ac:dyDescent="0.25">
      <c r="B18" s="78"/>
    </row>
    <row r="19" spans="2:17" x14ac:dyDescent="0.25">
      <c r="B19" s="105" t="s">
        <v>293</v>
      </c>
    </row>
    <row r="20" spans="2:17" x14ac:dyDescent="0.25">
      <c r="B20" s="87"/>
    </row>
    <row r="21" spans="2:17" x14ac:dyDescent="0.25">
      <c r="B21" s="87"/>
    </row>
    <row r="22" spans="2:17" x14ac:dyDescent="0.25">
      <c r="B22" s="118"/>
      <c r="C22" s="73" t="s">
        <v>339</v>
      </c>
    </row>
    <row r="23" spans="2:17" x14ac:dyDescent="0.25">
      <c r="B23" s="78"/>
    </row>
    <row r="24" spans="2:17" x14ac:dyDescent="0.25">
      <c r="B24" s="78"/>
    </row>
    <row r="25" spans="2:17" x14ac:dyDescent="0.25">
      <c r="B25" s="75"/>
    </row>
    <row r="26" spans="2:17" x14ac:dyDescent="0.25">
      <c r="B26" s="75"/>
      <c r="Q26" s="80"/>
    </row>
    <row r="27" spans="2:17" x14ac:dyDescent="0.25">
      <c r="B27" s="105" t="s">
        <v>292</v>
      </c>
      <c r="Q27" s="80"/>
    </row>
    <row r="28" spans="2:17" x14ac:dyDescent="0.25">
      <c r="B28" s="75"/>
      <c r="Q28" s="80"/>
    </row>
    <row r="29" spans="2:17" x14ac:dyDescent="0.25">
      <c r="B29" s="75"/>
      <c r="C29" s="73" t="s">
        <v>337</v>
      </c>
      <c r="Q29" s="80"/>
    </row>
    <row r="30" spans="2:17" x14ac:dyDescent="0.25">
      <c r="B30" s="79"/>
      <c r="Q30" s="80"/>
    </row>
    <row r="31" spans="2:17" x14ac:dyDescent="0.25">
      <c r="B31" s="81"/>
      <c r="Q31" s="80"/>
    </row>
    <row r="32" spans="2:17" x14ac:dyDescent="0.25">
      <c r="B32" s="79"/>
      <c r="Q32" s="80"/>
    </row>
    <row r="33" spans="2:17" x14ac:dyDescent="0.25">
      <c r="B33" s="81"/>
      <c r="Q33" s="80"/>
    </row>
    <row r="34" spans="2:17" x14ac:dyDescent="0.25">
      <c r="B34" s="81"/>
      <c r="C34" s="73" t="s">
        <v>338</v>
      </c>
      <c r="Q34" s="80"/>
    </row>
    <row r="35" spans="2:17" x14ac:dyDescent="0.25">
      <c r="B35" s="78"/>
      <c r="Q35" s="80"/>
    </row>
    <row r="36" spans="2:17" x14ac:dyDescent="0.25">
      <c r="B36" s="78"/>
      <c r="Q36" s="80"/>
    </row>
    <row r="37" spans="2:17" x14ac:dyDescent="0.25">
      <c r="B37" s="78"/>
      <c r="Q37" s="80"/>
    </row>
    <row r="38" spans="2:17" x14ac:dyDescent="0.25">
      <c r="B38" s="78"/>
      <c r="Q38" s="80"/>
    </row>
    <row r="39" spans="2:17" x14ac:dyDescent="0.25">
      <c r="B39" s="78"/>
      <c r="Q39" s="80"/>
    </row>
    <row r="40" spans="2:17" x14ac:dyDescent="0.25">
      <c r="B40" s="75"/>
      <c r="Q40" s="80"/>
    </row>
    <row r="41" spans="2:17" x14ac:dyDescent="0.25">
      <c r="B41" s="75"/>
      <c r="Q41" s="80"/>
    </row>
    <row r="42" spans="2:17" x14ac:dyDescent="0.25">
      <c r="B42" s="81"/>
      <c r="Q42" s="80"/>
    </row>
    <row r="43" spans="2:17" x14ac:dyDescent="0.25">
      <c r="B43" s="75"/>
      <c r="Q43" s="80"/>
    </row>
    <row r="44" spans="2:17" x14ac:dyDescent="0.25">
      <c r="B44" s="75"/>
    </row>
    <row r="45" spans="2:17" x14ac:dyDescent="0.25">
      <c r="B45" s="81"/>
    </row>
    <row r="46" spans="2:17" x14ac:dyDescent="0.25">
      <c r="B46" s="75"/>
    </row>
    <row r="47" spans="2:17" x14ac:dyDescent="0.25">
      <c r="B47" s="75"/>
    </row>
    <row r="48" spans="2:17" x14ac:dyDescent="0.25">
      <c r="B48" s="75"/>
    </row>
    <row r="49" spans="2:2" x14ac:dyDescent="0.25">
      <c r="B49" s="79"/>
    </row>
    <row r="50" spans="2:2" x14ac:dyDescent="0.25">
      <c r="B50" s="81"/>
    </row>
    <row r="51" spans="2:2" x14ac:dyDescent="0.25">
      <c r="B51" s="81"/>
    </row>
    <row r="52" spans="2:2" x14ac:dyDescent="0.25">
      <c r="B52" s="81"/>
    </row>
    <row r="53" spans="2:2" x14ac:dyDescent="0.25">
      <c r="B53" s="81"/>
    </row>
    <row r="54" spans="2:2" x14ac:dyDescent="0.25">
      <c r="B54" s="75"/>
    </row>
    <row r="55" spans="2:2" x14ac:dyDescent="0.25">
      <c r="B55" s="75"/>
    </row>
    <row r="56" spans="2:2" x14ac:dyDescent="0.25">
      <c r="B56" s="75"/>
    </row>
    <row r="57" spans="2:2" x14ac:dyDescent="0.25">
      <c r="B57" s="75"/>
    </row>
    <row r="58" spans="2:2" x14ac:dyDescent="0.25">
      <c r="B58" s="75"/>
    </row>
    <row r="59" spans="2:2" x14ac:dyDescent="0.25">
      <c r="B59" s="75"/>
    </row>
    <row r="60" spans="2:2" x14ac:dyDescent="0.25">
      <c r="B60" s="75"/>
    </row>
    <row r="61" spans="2:2" x14ac:dyDescent="0.25">
      <c r="B61" s="75"/>
    </row>
    <row r="62" spans="2:2" x14ac:dyDescent="0.25">
      <c r="B62" s="75"/>
    </row>
    <row r="63" spans="2:2" x14ac:dyDescent="0.25">
      <c r="B63" s="75"/>
    </row>
    <row r="64" spans="2:2" x14ac:dyDescent="0.25">
      <c r="B64" s="75"/>
    </row>
    <row r="65" spans="2:2" x14ac:dyDescent="0.25">
      <c r="B65" s="75"/>
    </row>
    <row r="66" spans="2:2" x14ac:dyDescent="0.25">
      <c r="B66" s="75"/>
    </row>
    <row r="67" spans="2:2" x14ac:dyDescent="0.25">
      <c r="B67" s="75"/>
    </row>
    <row r="68" spans="2:2" x14ac:dyDescent="0.25">
      <c r="B68" s="75"/>
    </row>
    <row r="69" spans="2:2" x14ac:dyDescent="0.25">
      <c r="B69" s="82"/>
    </row>
    <row r="70" spans="2:2" x14ac:dyDescent="0.25">
      <c r="B70" s="75"/>
    </row>
    <row r="71" spans="2:2" x14ac:dyDescent="0.25">
      <c r="B71" s="75"/>
    </row>
    <row r="72" spans="2:2" x14ac:dyDescent="0.25">
      <c r="B72" s="75"/>
    </row>
    <row r="73" spans="2:2" x14ac:dyDescent="0.25">
      <c r="B73" s="75"/>
    </row>
    <row r="74" spans="2:2" x14ac:dyDescent="0.25">
      <c r="B74" s="81"/>
    </row>
    <row r="75" spans="2:2" x14ac:dyDescent="0.25">
      <c r="B75" s="75"/>
    </row>
    <row r="76" spans="2:2" x14ac:dyDescent="0.25">
      <c r="B76" s="75"/>
    </row>
    <row r="77" spans="2:2" x14ac:dyDescent="0.25">
      <c r="B77" s="75"/>
    </row>
    <row r="78" spans="2:2" x14ac:dyDescent="0.25">
      <c r="B78" s="75"/>
    </row>
    <row r="79" spans="2:2" x14ac:dyDescent="0.25">
      <c r="B79" s="81"/>
    </row>
    <row r="83" spans="2:2" x14ac:dyDescent="0.25">
      <c r="B83" s="83"/>
    </row>
    <row r="84" spans="2:2" x14ac:dyDescent="0.25">
      <c r="B84" s="83"/>
    </row>
    <row r="89" spans="2:2" x14ac:dyDescent="0.25">
      <c r="B89" s="83"/>
    </row>
    <row r="90" spans="2:2" x14ac:dyDescent="0.25">
      <c r="B90" s="83"/>
    </row>
    <row r="91" spans="2:2" x14ac:dyDescent="0.25">
      <c r="B91" s="75"/>
    </row>
    <row r="93" spans="2:2" x14ac:dyDescent="0.25">
      <c r="B93" s="75"/>
    </row>
    <row r="94" spans="2:2" x14ac:dyDescent="0.25">
      <c r="B94" s="79"/>
    </row>
    <row r="96" spans="2:2" ht="21" x14ac:dyDescent="0.25">
      <c r="B96" s="74"/>
    </row>
    <row r="97" spans="2:2" x14ac:dyDescent="0.25">
      <c r="B97" s="84"/>
    </row>
    <row r="98" spans="2:2" x14ac:dyDescent="0.25">
      <c r="B98" s="85"/>
    </row>
    <row r="99" spans="2:2" x14ac:dyDescent="0.25">
      <c r="B99" s="85"/>
    </row>
    <row r="100" spans="2:2" x14ac:dyDescent="0.25">
      <c r="B100" s="86"/>
    </row>
    <row r="101" spans="2:2" x14ac:dyDescent="0.25">
      <c r="B101" s="84"/>
    </row>
    <row r="102" spans="2:2" x14ac:dyDescent="0.25">
      <c r="B102" s="86"/>
    </row>
    <row r="103" spans="2:2" x14ac:dyDescent="0.25">
      <c r="B103" s="86"/>
    </row>
    <row r="105" spans="2:2" x14ac:dyDescent="0.25">
      <c r="B105" s="84"/>
    </row>
    <row r="106" spans="2:2" x14ac:dyDescent="0.25">
      <c r="B106" s="86"/>
    </row>
    <row r="107" spans="2:2" x14ac:dyDescent="0.25">
      <c r="B107" s="86"/>
    </row>
    <row r="108" spans="2:2" x14ac:dyDescent="0.25">
      <c r="B108" s="86"/>
    </row>
    <row r="109" spans="2:2" x14ac:dyDescent="0.25">
      <c r="B109" s="86"/>
    </row>
    <row r="110" spans="2:2" x14ac:dyDescent="0.25">
      <c r="B110" s="84"/>
    </row>
    <row r="111" spans="2:2" x14ac:dyDescent="0.25">
      <c r="B111" s="84"/>
    </row>
    <row r="112" spans="2:2" x14ac:dyDescent="0.25">
      <c r="B112" s="84"/>
    </row>
    <row r="113" spans="2:2" x14ac:dyDescent="0.25">
      <c r="B113" s="86"/>
    </row>
    <row r="114" spans="2:2" x14ac:dyDescent="0.25">
      <c r="B114" s="84"/>
    </row>
    <row r="115" spans="2:2" x14ac:dyDescent="0.25">
      <c r="B115" s="84"/>
    </row>
    <row r="116" spans="2:2" x14ac:dyDescent="0.25">
      <c r="B116" s="84"/>
    </row>
    <row r="117" spans="2:2" x14ac:dyDescent="0.25">
      <c r="B117" s="84"/>
    </row>
    <row r="118" spans="2:2" x14ac:dyDescent="0.25">
      <c r="B118" s="84"/>
    </row>
    <row r="119" spans="2:2" x14ac:dyDescent="0.25">
      <c r="B119" s="8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2335F-783A-9D45-AE38-8B242233D409}">
  <sheetPr codeName="Sheet8"/>
  <dimension ref="B2:Q118"/>
  <sheetViews>
    <sheetView topLeftCell="A45" zoomScaleNormal="100" workbookViewId="0">
      <selection activeCell="M12" sqref="M12"/>
    </sheetView>
  </sheetViews>
  <sheetFormatPr baseColWidth="10" defaultColWidth="11" defaultRowHeight="19" x14ac:dyDescent="0.25"/>
  <cols>
    <col min="1" max="1" width="11" style="73"/>
    <col min="2" max="2" width="13" style="73" customWidth="1"/>
    <col min="3" max="16384" width="11" style="73"/>
  </cols>
  <sheetData>
    <row r="2" spans="2:12" ht="21" x14ac:dyDescent="0.25">
      <c r="B2" s="74" t="s">
        <v>295</v>
      </c>
    </row>
    <row r="3" spans="2:12" x14ac:dyDescent="0.25">
      <c r="B3" s="117" t="s">
        <v>351</v>
      </c>
      <c r="I3" s="75"/>
    </row>
    <row r="4" spans="2:12" x14ac:dyDescent="0.25">
      <c r="B4" s="76"/>
    </row>
    <row r="5" spans="2:12" x14ac:dyDescent="0.25">
      <c r="B5" s="112" t="s">
        <v>340</v>
      </c>
      <c r="K5" s="75" t="s">
        <v>76</v>
      </c>
      <c r="L5" s="73" t="s">
        <v>313</v>
      </c>
    </row>
    <row r="6" spans="2:12" x14ac:dyDescent="0.25">
      <c r="B6" s="78"/>
      <c r="K6" s="78" t="s">
        <v>103</v>
      </c>
      <c r="L6" s="73" t="s">
        <v>104</v>
      </c>
    </row>
    <row r="7" spans="2:12" x14ac:dyDescent="0.25">
      <c r="B7" s="78"/>
      <c r="K7" s="75" t="s">
        <v>11</v>
      </c>
      <c r="L7" s="73" t="s">
        <v>222</v>
      </c>
    </row>
    <row r="8" spans="2:12" x14ac:dyDescent="0.25">
      <c r="B8" s="75"/>
      <c r="K8" s="75" t="s">
        <v>114</v>
      </c>
      <c r="L8" s="73" t="s">
        <v>223</v>
      </c>
    </row>
    <row r="9" spans="2:12" x14ac:dyDescent="0.25">
      <c r="B9" s="75"/>
      <c r="K9" s="78" t="s">
        <v>280</v>
      </c>
      <c r="L9" s="73" t="s">
        <v>157</v>
      </c>
    </row>
    <row r="10" spans="2:12" x14ac:dyDescent="0.25">
      <c r="B10" s="78"/>
      <c r="K10" s="78" t="s">
        <v>281</v>
      </c>
      <c r="L10" s="73" t="s">
        <v>158</v>
      </c>
    </row>
    <row r="11" spans="2:12" x14ac:dyDescent="0.25">
      <c r="B11" s="78"/>
      <c r="K11" s="78" t="s">
        <v>10</v>
      </c>
      <c r="L11" s="73" t="s">
        <v>68</v>
      </c>
    </row>
    <row r="12" spans="2:12" x14ac:dyDescent="0.25">
      <c r="B12" s="75"/>
      <c r="K12" s="78" t="s">
        <v>7</v>
      </c>
      <c r="L12" s="73" t="s">
        <v>70</v>
      </c>
    </row>
    <row r="13" spans="2:12" x14ac:dyDescent="0.25">
      <c r="B13" s="75"/>
      <c r="K13" s="87" t="s">
        <v>194</v>
      </c>
      <c r="L13" s="73" t="s">
        <v>362</v>
      </c>
    </row>
    <row r="14" spans="2:12" x14ac:dyDescent="0.25">
      <c r="B14" s="112" t="s">
        <v>314</v>
      </c>
      <c r="K14" s="75" t="s">
        <v>124</v>
      </c>
      <c r="L14" s="73" t="s">
        <v>149</v>
      </c>
    </row>
    <row r="15" spans="2:12" x14ac:dyDescent="0.25">
      <c r="B15" s="78"/>
      <c r="K15" s="81" t="s">
        <v>93</v>
      </c>
      <c r="L15" s="73" t="s">
        <v>363</v>
      </c>
    </row>
    <row r="16" spans="2:12" x14ac:dyDescent="0.25">
      <c r="B16" s="78"/>
      <c r="K16" s="75" t="s">
        <v>66</v>
      </c>
      <c r="L16" s="73" t="s">
        <v>364</v>
      </c>
    </row>
    <row r="17" spans="2:17" x14ac:dyDescent="0.25">
      <c r="B17" s="78"/>
      <c r="K17" s="79" t="s">
        <v>96</v>
      </c>
      <c r="L17" s="73" t="s">
        <v>230</v>
      </c>
    </row>
    <row r="18" spans="2:17" x14ac:dyDescent="0.25">
      <c r="B18" s="78"/>
      <c r="K18" s="81" t="s">
        <v>99</v>
      </c>
      <c r="L18" s="73" t="s">
        <v>232</v>
      </c>
    </row>
    <row r="19" spans="2:17" x14ac:dyDescent="0.25">
      <c r="B19" s="87"/>
      <c r="K19" s="81" t="s">
        <v>100</v>
      </c>
      <c r="L19" s="73" t="s">
        <v>233</v>
      </c>
    </row>
    <row r="20" spans="2:17" x14ac:dyDescent="0.25">
      <c r="B20" s="78"/>
      <c r="K20" s="75" t="s">
        <v>28</v>
      </c>
      <c r="L20" s="73" t="s">
        <v>234</v>
      </c>
    </row>
    <row r="21" spans="2:17" x14ac:dyDescent="0.25">
      <c r="B21" s="78"/>
      <c r="K21" s="75" t="s">
        <v>80</v>
      </c>
      <c r="L21" s="73" t="s">
        <v>238</v>
      </c>
    </row>
    <row r="22" spans="2:17" x14ac:dyDescent="0.25">
      <c r="B22" s="75"/>
      <c r="D22" s="113"/>
      <c r="K22" s="75" t="s">
        <v>81</v>
      </c>
      <c r="L22" s="73" t="s">
        <v>239</v>
      </c>
    </row>
    <row r="23" spans="2:17" x14ac:dyDescent="0.25">
      <c r="B23" s="112" t="s">
        <v>309</v>
      </c>
      <c r="K23" s="75" t="s">
        <v>119</v>
      </c>
      <c r="L23" s="73" t="s">
        <v>243</v>
      </c>
      <c r="Q23" s="80"/>
    </row>
    <row r="24" spans="2:17" x14ac:dyDescent="0.25">
      <c r="B24" s="87"/>
      <c r="K24" s="75" t="s">
        <v>173</v>
      </c>
      <c r="L24" s="73" t="s">
        <v>284</v>
      </c>
      <c r="Q24" s="80"/>
    </row>
    <row r="25" spans="2:17" x14ac:dyDescent="0.25">
      <c r="B25" s="75" t="s">
        <v>315</v>
      </c>
      <c r="D25" s="113"/>
      <c r="K25" s="75" t="s">
        <v>168</v>
      </c>
      <c r="L25" s="73" t="s">
        <v>244</v>
      </c>
      <c r="Q25" s="80"/>
    </row>
    <row r="26" spans="2:17" x14ac:dyDescent="0.25">
      <c r="B26" s="75"/>
      <c r="K26" s="75" t="s">
        <v>120</v>
      </c>
      <c r="L26" s="73" t="s">
        <v>245</v>
      </c>
      <c r="Q26" s="80"/>
    </row>
    <row r="27" spans="2:17" x14ac:dyDescent="0.25">
      <c r="B27" s="75"/>
      <c r="K27" s="82" t="s">
        <v>177</v>
      </c>
      <c r="L27" s="73" t="s">
        <v>246</v>
      </c>
      <c r="Q27" s="80"/>
    </row>
    <row r="28" spans="2:17" x14ac:dyDescent="0.25">
      <c r="B28" s="75" t="s">
        <v>316</v>
      </c>
      <c r="K28" s="75" t="s">
        <v>121</v>
      </c>
      <c r="L28" s="73" t="s">
        <v>152</v>
      </c>
      <c r="Q28" s="80"/>
    </row>
    <row r="29" spans="2:17" x14ac:dyDescent="0.25">
      <c r="B29" s="79"/>
      <c r="K29" s="75" t="s">
        <v>371</v>
      </c>
      <c r="L29" s="73" t="s">
        <v>372</v>
      </c>
      <c r="Q29" s="80"/>
    </row>
    <row r="30" spans="2:17" x14ac:dyDescent="0.25">
      <c r="C30" s="115" t="s">
        <v>310</v>
      </c>
      <c r="F30" s="115" t="s">
        <v>311</v>
      </c>
      <c r="K30" s="75" t="s">
        <v>15</v>
      </c>
      <c r="L30" s="73" t="s">
        <v>304</v>
      </c>
      <c r="Q30" s="80"/>
    </row>
    <row r="31" spans="2:17" x14ac:dyDescent="0.25">
      <c r="B31" s="79"/>
      <c r="K31" s="79" t="s">
        <v>297</v>
      </c>
      <c r="L31" s="73" t="s">
        <v>248</v>
      </c>
      <c r="Q31" s="80"/>
    </row>
    <row r="32" spans="2:17" x14ac:dyDescent="0.25">
      <c r="B32" s="81"/>
      <c r="K32" s="114" t="s">
        <v>300</v>
      </c>
      <c r="L32" s="73" t="s">
        <v>301</v>
      </c>
      <c r="Q32" s="80"/>
    </row>
    <row r="33" spans="2:17" x14ac:dyDescent="0.25">
      <c r="B33" s="81"/>
      <c r="K33" s="75" t="s">
        <v>175</v>
      </c>
      <c r="L33" s="73" t="s">
        <v>249</v>
      </c>
      <c r="Q33" s="80"/>
    </row>
    <row r="34" spans="2:17" x14ac:dyDescent="0.25">
      <c r="B34" s="78"/>
      <c r="K34" s="81" t="s">
        <v>176</v>
      </c>
      <c r="L34" s="73" t="s">
        <v>303</v>
      </c>
      <c r="Q34" s="80"/>
    </row>
    <row r="35" spans="2:17" x14ac:dyDescent="0.25">
      <c r="B35" s="78"/>
      <c r="K35" s="75" t="s">
        <v>167</v>
      </c>
      <c r="L35" s="73" t="s">
        <v>250</v>
      </c>
      <c r="Q35" s="80"/>
    </row>
    <row r="36" spans="2:17" x14ac:dyDescent="0.25">
      <c r="B36" s="78"/>
      <c r="K36" s="75" t="s">
        <v>302</v>
      </c>
      <c r="L36" s="73" t="s">
        <v>333</v>
      </c>
      <c r="Q36" s="80"/>
    </row>
    <row r="37" spans="2:17" x14ac:dyDescent="0.25">
      <c r="B37" s="78"/>
      <c r="K37" s="75" t="s">
        <v>27</v>
      </c>
      <c r="L37" s="73" t="s">
        <v>251</v>
      </c>
      <c r="Q37" s="80"/>
    </row>
    <row r="38" spans="2:17" x14ac:dyDescent="0.25">
      <c r="B38" s="78"/>
      <c r="K38" s="75" t="s">
        <v>169</v>
      </c>
      <c r="L38" s="73" t="s">
        <v>252</v>
      </c>
      <c r="Q38" s="80"/>
    </row>
    <row r="39" spans="2:17" x14ac:dyDescent="0.25">
      <c r="B39" s="75"/>
      <c r="K39" s="81" t="s">
        <v>178</v>
      </c>
      <c r="L39" s="73" t="s">
        <v>253</v>
      </c>
      <c r="Q39" s="80"/>
    </row>
    <row r="40" spans="2:17" x14ac:dyDescent="0.25">
      <c r="B40" s="73" t="s">
        <v>341</v>
      </c>
      <c r="K40" s="81" t="s">
        <v>298</v>
      </c>
      <c r="L40" s="73" t="s">
        <v>299</v>
      </c>
      <c r="Q40" s="80"/>
    </row>
    <row r="41" spans="2:17" x14ac:dyDescent="0.25">
      <c r="K41" s="73" t="s">
        <v>174</v>
      </c>
      <c r="L41" s="73" t="s">
        <v>254</v>
      </c>
    </row>
    <row r="42" spans="2:17" x14ac:dyDescent="0.25">
      <c r="B42" s="75"/>
      <c r="C42" s="73" t="s">
        <v>317</v>
      </c>
      <c r="K42" s="73" t="s">
        <v>183</v>
      </c>
      <c r="L42" s="73" t="s">
        <v>255</v>
      </c>
    </row>
    <row r="43" spans="2:17" x14ac:dyDescent="0.25">
      <c r="B43" s="75"/>
      <c r="K43" s="73" t="s">
        <v>184</v>
      </c>
      <c r="L43" s="73" t="str">
        <f>L42</f>
        <v>Near bank flow velocity (m/s)  [Johannesson and Parker, 1989]</v>
      </c>
    </row>
    <row r="44" spans="2:17" x14ac:dyDescent="0.25">
      <c r="B44" s="81"/>
      <c r="K44" s="83" t="s">
        <v>187</v>
      </c>
      <c r="L44" s="73" t="s">
        <v>256</v>
      </c>
    </row>
    <row r="45" spans="2:17" x14ac:dyDescent="0.25">
      <c r="B45" s="75"/>
      <c r="K45" s="83" t="s">
        <v>188</v>
      </c>
      <c r="L45" s="73" t="str">
        <f>L44</f>
        <v>Near bank Shields number (-)  [Johannesson and Parker, 1989]</v>
      </c>
    </row>
    <row r="46" spans="2:17" x14ac:dyDescent="0.25">
      <c r="B46" s="75"/>
      <c r="K46" s="73" t="s">
        <v>179</v>
      </c>
      <c r="L46" s="73" t="s">
        <v>257</v>
      </c>
    </row>
    <row r="47" spans="2:17" x14ac:dyDescent="0.25">
      <c r="B47" s="75"/>
      <c r="C47" s="73" t="s">
        <v>354</v>
      </c>
      <c r="K47" s="73" t="s">
        <v>180</v>
      </c>
      <c r="L47" s="73" t="s">
        <v>258</v>
      </c>
    </row>
    <row r="48" spans="2:17" x14ac:dyDescent="0.25">
      <c r="B48" s="79"/>
      <c r="K48" s="73" t="s">
        <v>181</v>
      </c>
      <c r="L48" s="73" t="s">
        <v>259</v>
      </c>
    </row>
    <row r="49" spans="2:12" x14ac:dyDescent="0.25">
      <c r="B49" s="81"/>
      <c r="K49" s="73" t="s">
        <v>182</v>
      </c>
      <c r="L49" s="73" t="s">
        <v>260</v>
      </c>
    </row>
    <row r="50" spans="2:12" x14ac:dyDescent="0.25">
      <c r="B50" s="81"/>
      <c r="K50" s="83" t="s">
        <v>185</v>
      </c>
      <c r="L50" s="73" t="s">
        <v>261</v>
      </c>
    </row>
    <row r="51" spans="2:12" x14ac:dyDescent="0.25">
      <c r="B51" s="81"/>
      <c r="K51" s="83" t="s">
        <v>186</v>
      </c>
      <c r="L51" s="73" t="str">
        <f>L50</f>
        <v>Bank migration rate (m/yr) [Eke et al., 2014]</v>
      </c>
    </row>
    <row r="52" spans="2:12" x14ac:dyDescent="0.25">
      <c r="B52" s="81"/>
      <c r="K52" s="75" t="s">
        <v>13</v>
      </c>
      <c r="L52" s="73" t="s">
        <v>359</v>
      </c>
    </row>
    <row r="53" spans="2:12" x14ac:dyDescent="0.25">
      <c r="B53" s="75"/>
      <c r="K53" s="73" t="s">
        <v>17</v>
      </c>
      <c r="L53" s="73" t="s">
        <v>262</v>
      </c>
    </row>
    <row r="54" spans="2:12" x14ac:dyDescent="0.25">
      <c r="B54" s="75"/>
      <c r="C54" s="73" t="s">
        <v>318</v>
      </c>
      <c r="K54" s="75" t="s">
        <v>118</v>
      </c>
      <c r="L54" s="73" t="s">
        <v>282</v>
      </c>
    </row>
    <row r="55" spans="2:12" x14ac:dyDescent="0.25">
      <c r="D55" s="73" t="s">
        <v>319</v>
      </c>
      <c r="K55" s="79" t="s">
        <v>48</v>
      </c>
      <c r="L55" s="73" t="s">
        <v>283</v>
      </c>
    </row>
    <row r="56" spans="2:12" x14ac:dyDescent="0.25">
      <c r="B56" s="75"/>
    </row>
    <row r="57" spans="2:12" x14ac:dyDescent="0.25">
      <c r="B57" s="75"/>
      <c r="K57" s="112" t="s">
        <v>296</v>
      </c>
    </row>
    <row r="58" spans="2:12" x14ac:dyDescent="0.25">
      <c r="B58" s="75"/>
    </row>
    <row r="59" spans="2:12" ht="21" x14ac:dyDescent="0.25">
      <c r="B59" s="75"/>
      <c r="D59" s="104"/>
      <c r="K59" s="73" t="s">
        <v>330</v>
      </c>
    </row>
    <row r="61" spans="2:12" x14ac:dyDescent="0.25">
      <c r="B61" s="75"/>
    </row>
    <row r="63" spans="2:12" x14ac:dyDescent="0.25">
      <c r="B63" s="75"/>
    </row>
    <row r="64" spans="2:12" x14ac:dyDescent="0.25">
      <c r="K64" s="73" t="s">
        <v>329</v>
      </c>
    </row>
    <row r="65" spans="2:11" x14ac:dyDescent="0.25">
      <c r="B65" s="75"/>
    </row>
    <row r="66" spans="2:11" x14ac:dyDescent="0.25">
      <c r="B66" s="75"/>
    </row>
    <row r="67" spans="2:11" x14ac:dyDescent="0.25">
      <c r="B67" s="75"/>
      <c r="D67" s="73" t="s">
        <v>320</v>
      </c>
    </row>
    <row r="68" spans="2:11" x14ac:dyDescent="0.25">
      <c r="B68" s="82"/>
    </row>
    <row r="69" spans="2:11" x14ac:dyDescent="0.25">
      <c r="B69" s="75"/>
      <c r="K69" s="73" t="s">
        <v>331</v>
      </c>
    </row>
    <row r="70" spans="2:11" x14ac:dyDescent="0.25">
      <c r="B70" s="75"/>
    </row>
    <row r="71" spans="2:11" x14ac:dyDescent="0.25">
      <c r="B71" s="75"/>
      <c r="D71" s="73" t="s">
        <v>321</v>
      </c>
    </row>
    <row r="72" spans="2:11" x14ac:dyDescent="0.25">
      <c r="B72" s="75"/>
    </row>
    <row r="73" spans="2:11" x14ac:dyDescent="0.25">
      <c r="B73" s="81"/>
      <c r="K73" s="73" t="s">
        <v>332</v>
      </c>
    </row>
    <row r="74" spans="2:11" ht="21" x14ac:dyDescent="0.25">
      <c r="B74" s="75"/>
      <c r="C74" s="73" t="s">
        <v>322</v>
      </c>
      <c r="D74" s="116"/>
    </row>
    <row r="75" spans="2:11" x14ac:dyDescent="0.25">
      <c r="B75" s="75"/>
      <c r="D75" s="73" t="s">
        <v>323</v>
      </c>
    </row>
    <row r="76" spans="2:11" x14ac:dyDescent="0.25">
      <c r="B76" s="75"/>
    </row>
    <row r="77" spans="2:11" x14ac:dyDescent="0.25">
      <c r="B77" s="75"/>
      <c r="D77" s="73" t="s">
        <v>325</v>
      </c>
      <c r="F77" s="73" t="s">
        <v>324</v>
      </c>
    </row>
    <row r="78" spans="2:11" x14ac:dyDescent="0.25">
      <c r="B78" s="81"/>
      <c r="K78" s="73" t="s">
        <v>336</v>
      </c>
    </row>
    <row r="79" spans="2:11" x14ac:dyDescent="0.25">
      <c r="D79" s="73" t="s">
        <v>325</v>
      </c>
      <c r="F79" s="73" t="s">
        <v>326</v>
      </c>
    </row>
    <row r="81" spans="2:11" x14ac:dyDescent="0.25">
      <c r="D81" s="73" t="s">
        <v>325</v>
      </c>
      <c r="F81" s="73" t="s">
        <v>327</v>
      </c>
    </row>
    <row r="82" spans="2:11" ht="21" x14ac:dyDescent="0.25">
      <c r="B82" s="83"/>
      <c r="K82" s="116"/>
    </row>
    <row r="84" spans="2:11" x14ac:dyDescent="0.25">
      <c r="B84" s="73" t="s">
        <v>328</v>
      </c>
    </row>
    <row r="88" spans="2:11" x14ac:dyDescent="0.25">
      <c r="B88" s="83"/>
    </row>
    <row r="89" spans="2:11" x14ac:dyDescent="0.25">
      <c r="B89" s="83"/>
    </row>
    <row r="90" spans="2:11" x14ac:dyDescent="0.25">
      <c r="B90" s="75"/>
    </row>
    <row r="92" spans="2:11" x14ac:dyDescent="0.25">
      <c r="B92" s="75"/>
    </row>
    <row r="93" spans="2:11" x14ac:dyDescent="0.25">
      <c r="B93" s="79"/>
    </row>
    <row r="95" spans="2:11" ht="21" x14ac:dyDescent="0.25">
      <c r="B95" s="74"/>
    </row>
    <row r="96" spans="2:11" x14ac:dyDescent="0.25">
      <c r="B96" s="84"/>
    </row>
    <row r="97" spans="2:2" x14ac:dyDescent="0.25">
      <c r="B97" s="85"/>
    </row>
    <row r="98" spans="2:2" x14ac:dyDescent="0.25">
      <c r="B98" s="85"/>
    </row>
    <row r="99" spans="2:2" x14ac:dyDescent="0.25">
      <c r="B99" s="86"/>
    </row>
    <row r="100" spans="2:2" x14ac:dyDescent="0.25">
      <c r="B100" s="84"/>
    </row>
    <row r="101" spans="2:2" x14ac:dyDescent="0.25">
      <c r="B101" s="86"/>
    </row>
    <row r="102" spans="2:2" x14ac:dyDescent="0.25">
      <c r="B102" s="86"/>
    </row>
    <row r="104" spans="2:2" x14ac:dyDescent="0.25">
      <c r="B104" s="84"/>
    </row>
    <row r="105" spans="2:2" x14ac:dyDescent="0.25">
      <c r="B105" s="86"/>
    </row>
    <row r="106" spans="2:2" x14ac:dyDescent="0.25">
      <c r="B106" s="86"/>
    </row>
    <row r="107" spans="2:2" x14ac:dyDescent="0.25">
      <c r="B107" s="86"/>
    </row>
    <row r="108" spans="2:2" x14ac:dyDescent="0.25">
      <c r="B108" s="86"/>
    </row>
    <row r="109" spans="2:2" x14ac:dyDescent="0.25">
      <c r="B109" s="84"/>
    </row>
    <row r="110" spans="2:2" x14ac:dyDescent="0.25">
      <c r="B110" s="84"/>
    </row>
    <row r="111" spans="2:2" x14ac:dyDescent="0.25">
      <c r="B111" s="84"/>
    </row>
    <row r="112" spans="2:2" x14ac:dyDescent="0.25">
      <c r="B112" s="86"/>
    </row>
    <row r="113" spans="2:2" x14ac:dyDescent="0.25">
      <c r="B113" s="84"/>
    </row>
    <row r="114" spans="2:2" x14ac:dyDescent="0.25">
      <c r="B114" s="84"/>
    </row>
    <row r="115" spans="2:2" x14ac:dyDescent="0.25">
      <c r="B115" s="84"/>
    </row>
    <row r="116" spans="2:2" x14ac:dyDescent="0.25">
      <c r="B116" s="84"/>
    </row>
    <row r="117" spans="2:2" x14ac:dyDescent="0.25">
      <c r="B117" s="84"/>
    </row>
    <row r="118" spans="2:2" x14ac:dyDescent="0.25">
      <c r="B118" s="8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1EE24-E7B4-344E-8219-28AEF5E2CAB9}">
  <sheetPr codeName="Sheet6"/>
  <dimension ref="B3:C18"/>
  <sheetViews>
    <sheetView workbookViewId="0">
      <selection activeCell="C14" sqref="C14"/>
    </sheetView>
  </sheetViews>
  <sheetFormatPr baseColWidth="10" defaultColWidth="10.83203125" defaultRowHeight="21" x14ac:dyDescent="0.25"/>
  <cols>
    <col min="1" max="16384" width="10.83203125" style="104"/>
  </cols>
  <sheetData>
    <row r="3" spans="2:3" x14ac:dyDescent="0.25">
      <c r="B3" s="103" t="s">
        <v>56</v>
      </c>
    </row>
    <row r="5" spans="2:3" x14ac:dyDescent="0.25">
      <c r="B5" s="104" t="s">
        <v>52</v>
      </c>
    </row>
    <row r="6" spans="2:3" x14ac:dyDescent="0.25">
      <c r="B6" s="104" t="s">
        <v>64</v>
      </c>
    </row>
    <row r="7" spans="2:3" x14ac:dyDescent="0.25">
      <c r="B7" s="104" t="s">
        <v>53</v>
      </c>
    </row>
    <row r="8" spans="2:3" x14ac:dyDescent="0.25">
      <c r="B8" s="104" t="s">
        <v>54</v>
      </c>
    </row>
    <row r="9" spans="2:3" x14ac:dyDescent="0.25">
      <c r="B9" s="104" t="s">
        <v>55</v>
      </c>
    </row>
    <row r="10" spans="2:3" x14ac:dyDescent="0.25">
      <c r="B10" s="104" t="s">
        <v>57</v>
      </c>
    </row>
    <row r="11" spans="2:3" x14ac:dyDescent="0.25">
      <c r="C11" s="104" t="s">
        <v>373</v>
      </c>
    </row>
    <row r="12" spans="2:3" x14ac:dyDescent="0.25">
      <c r="C12" s="104" t="s">
        <v>58</v>
      </c>
    </row>
    <row r="13" spans="2:3" x14ac:dyDescent="0.25">
      <c r="C13" s="104" t="s">
        <v>59</v>
      </c>
    </row>
    <row r="14" spans="2:3" x14ac:dyDescent="0.25">
      <c r="C14" s="104" t="s">
        <v>60</v>
      </c>
    </row>
    <row r="15" spans="2:3" x14ac:dyDescent="0.25">
      <c r="B15" s="104" t="s">
        <v>61</v>
      </c>
    </row>
    <row r="16" spans="2:3" x14ac:dyDescent="0.25">
      <c r="C16" s="104" t="s">
        <v>62</v>
      </c>
    </row>
    <row r="17" spans="2:3" x14ac:dyDescent="0.25">
      <c r="C17" s="104" t="s">
        <v>65</v>
      </c>
    </row>
    <row r="18" spans="2:3" x14ac:dyDescent="0.25">
      <c r="B18" s="104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B706F-1BB9-4185-9D74-BBE85F628A7E}">
  <sheetPr codeName="Sheet3"/>
  <dimension ref="A2:AP132"/>
  <sheetViews>
    <sheetView tabSelected="1" topLeftCell="H1" zoomScale="99" zoomScaleNormal="99" workbookViewId="0">
      <selection activeCell="Q6" sqref="Q6"/>
    </sheetView>
  </sheetViews>
  <sheetFormatPr baseColWidth="10" defaultColWidth="12.5" defaultRowHeight="16" x14ac:dyDescent="0.2"/>
  <cols>
    <col min="1" max="4" width="12.5" style="1"/>
    <col min="5" max="6" width="12.5" style="1" bestFit="1" customWidth="1"/>
    <col min="7" max="7" width="14.5" style="1" bestFit="1" customWidth="1"/>
    <col min="8" max="8" width="16.5" style="1" customWidth="1"/>
    <col min="9" max="12" width="12.5" style="1"/>
    <col min="13" max="13" width="21.1640625" style="1" customWidth="1"/>
    <col min="14" max="15" width="12.5" style="1"/>
    <col min="16" max="16" width="13.33203125" style="1" bestFit="1" customWidth="1"/>
    <col min="17" max="20" width="12.5" style="1"/>
    <col min="21" max="21" width="13.83203125" style="1" bestFit="1" customWidth="1"/>
    <col min="22" max="22" width="12.5" style="1"/>
    <col min="23" max="23" width="15" style="1" customWidth="1"/>
    <col min="24" max="38" width="12.5" style="1"/>
    <col min="39" max="39" width="12.5" style="1" customWidth="1"/>
    <col min="40" max="40" width="12.5" style="1"/>
    <col min="41" max="41" width="13.6640625" style="1" bestFit="1" customWidth="1"/>
    <col min="42" max="16384" width="12.5" style="1"/>
  </cols>
  <sheetData>
    <row r="2" spans="1:22" x14ac:dyDescent="0.2">
      <c r="B2" s="9"/>
      <c r="C2" s="27" t="s">
        <v>37</v>
      </c>
      <c r="L2" s="45" t="s">
        <v>342</v>
      </c>
      <c r="M2" s="46"/>
      <c r="N2" s="47">
        <f>B7-M8</f>
        <v>87.339479016445694</v>
      </c>
      <c r="O2" s="47" t="s">
        <v>0</v>
      </c>
    </row>
    <row r="3" spans="1:22" x14ac:dyDescent="0.2">
      <c r="B3" s="25"/>
      <c r="C3" s="27" t="s">
        <v>46</v>
      </c>
      <c r="L3" s="45" t="s">
        <v>39</v>
      </c>
      <c r="M3" s="46"/>
      <c r="N3" s="48">
        <f>100*N2/B7</f>
        <v>7.2967598413856485E-2</v>
      </c>
      <c r="O3" s="47"/>
    </row>
    <row r="4" spans="1:22" x14ac:dyDescent="0.2">
      <c r="B4" s="37"/>
      <c r="C4" s="27" t="s">
        <v>38</v>
      </c>
    </row>
    <row r="5" spans="1:22" x14ac:dyDescent="0.2">
      <c r="B5" s="43"/>
      <c r="C5" s="27" t="s">
        <v>40</v>
      </c>
      <c r="L5" s="45" t="s">
        <v>343</v>
      </c>
      <c r="M5" s="42"/>
      <c r="N5" s="49">
        <f>((U9+U10)/U8/(1-B13))-Q12</f>
        <v>-6.4843264076674956E-4</v>
      </c>
      <c r="O5" s="119" t="s">
        <v>5</v>
      </c>
    </row>
    <row r="6" spans="1:22" x14ac:dyDescent="0.2">
      <c r="L6" s="45" t="s">
        <v>344</v>
      </c>
      <c r="M6" s="42"/>
      <c r="N6" s="48">
        <f>bank_migr_width!I21</f>
        <v>-1.8637459253483257E-3</v>
      </c>
      <c r="O6" s="45" t="s">
        <v>14</v>
      </c>
      <c r="Q6" s="6"/>
    </row>
    <row r="7" spans="1:22" x14ac:dyDescent="0.2">
      <c r="A7" s="121" t="s">
        <v>349</v>
      </c>
      <c r="B7" s="44">
        <f>95757/0.8</f>
        <v>119696.25</v>
      </c>
      <c r="C7" s="27" t="s">
        <v>0</v>
      </c>
      <c r="E7" s="54" t="s">
        <v>105</v>
      </c>
      <c r="F7" s="9">
        <f>1/(5^2)</f>
        <v>0.04</v>
      </c>
      <c r="H7" s="51" t="s">
        <v>112</v>
      </c>
      <c r="I7" s="9">
        <v>1</v>
      </c>
    </row>
    <row r="8" spans="1:22" x14ac:dyDescent="0.2">
      <c r="A8" s="54" t="s">
        <v>89</v>
      </c>
      <c r="B8" s="9">
        <v>700</v>
      </c>
      <c r="C8" s="1" t="s">
        <v>5</v>
      </c>
      <c r="E8" s="54" t="s">
        <v>90</v>
      </c>
      <c r="F8" s="9">
        <v>0.05</v>
      </c>
      <c r="H8" s="51" t="s">
        <v>113</v>
      </c>
      <c r="I8" s="9">
        <v>6.5000000000000002E-2</v>
      </c>
      <c r="L8" s="121" t="s">
        <v>349</v>
      </c>
      <c r="M8" s="40">
        <f>SUM(M21:M40)*(B10+1)*365.25*24*60*60</f>
        <v>119608.91052098355</v>
      </c>
      <c r="N8" s="1" t="s">
        <v>0</v>
      </c>
      <c r="P8" s="54" t="s">
        <v>116</v>
      </c>
      <c r="Q8" s="41">
        <f>U9*60*60*24*365.25*1000/B$8</f>
        <v>6.1398202543876048E-4</v>
      </c>
      <c r="R8" s="12" t="s">
        <v>30</v>
      </c>
      <c r="T8" s="1" t="s">
        <v>13</v>
      </c>
      <c r="U8" s="4">
        <f>bank_migr_width!I20</f>
        <v>4.078521637930324E-8</v>
      </c>
      <c r="V8" s="1" t="s">
        <v>4</v>
      </c>
    </row>
    <row r="9" spans="1:22" x14ac:dyDescent="0.2">
      <c r="A9" s="71" t="s">
        <v>280</v>
      </c>
      <c r="B9" s="9">
        <f>0.67/1000</f>
        <v>6.7000000000000002E-4</v>
      </c>
      <c r="C9" s="1" t="s">
        <v>5</v>
      </c>
      <c r="E9" s="54" t="s">
        <v>91</v>
      </c>
      <c r="F9" s="9">
        <f>F8*0.5</f>
        <v>2.5000000000000001E-2</v>
      </c>
      <c r="H9" s="51" t="s">
        <v>41</v>
      </c>
      <c r="I9" s="11">
        <v>0.55000000000000004</v>
      </c>
      <c r="J9" t="s">
        <v>14</v>
      </c>
      <c r="L9" s="121" t="s">
        <v>350</v>
      </c>
      <c r="M9" s="40">
        <f>SUM(V21:V40)*(B10+1)*365.25*24*60*60</f>
        <v>444410.05614001083</v>
      </c>
      <c r="N9" s="1" t="s">
        <v>0</v>
      </c>
      <c r="P9" s="59" t="s">
        <v>117</v>
      </c>
      <c r="Q9" s="39">
        <f>U10*60*60*24*365.25*1000/B$8</f>
        <v>2.7230546081715374</v>
      </c>
      <c r="R9" s="12" t="s">
        <v>30</v>
      </c>
      <c r="T9" s="54" t="s">
        <v>116</v>
      </c>
      <c r="U9" s="4">
        <f>SUM(T21:T40)</f>
        <v>1.361914143683716E-11</v>
      </c>
      <c r="V9" s="1" t="s">
        <v>2</v>
      </c>
    </row>
    <row r="10" spans="1:22" x14ac:dyDescent="0.2">
      <c r="A10" s="1" t="s">
        <v>10</v>
      </c>
      <c r="B10" s="9">
        <v>1.65</v>
      </c>
      <c r="E10" s="57" t="s">
        <v>110</v>
      </c>
      <c r="F10" s="9">
        <v>0.05</v>
      </c>
      <c r="H10" s="51" t="s">
        <v>42</v>
      </c>
      <c r="I10" s="11">
        <v>2</v>
      </c>
      <c r="J10" t="s">
        <v>14</v>
      </c>
      <c r="L10" s="54" t="s">
        <v>78</v>
      </c>
      <c r="M10" s="39">
        <f>bank_migr_width!C6</f>
        <v>0.21206540487294451</v>
      </c>
      <c r="P10" s="27" t="s">
        <v>13</v>
      </c>
      <c r="Q10" s="39">
        <f>bank_migr_width!I19</f>
        <v>1.2870835444115001</v>
      </c>
      <c r="R10" s="27" t="s">
        <v>14</v>
      </c>
      <c r="T10" s="59" t="s">
        <v>117</v>
      </c>
      <c r="U10" s="4">
        <f>SUM(Y21:Y40)</f>
        <v>6.0401875482295104E-8</v>
      </c>
      <c r="V10" s="1" t="s">
        <v>2</v>
      </c>
    </row>
    <row r="11" spans="1:22" x14ac:dyDescent="0.2">
      <c r="A11" s="72" t="s">
        <v>281</v>
      </c>
      <c r="B11" s="9">
        <f>0.03/1000</f>
        <v>2.9999999999999997E-5</v>
      </c>
      <c r="C11" s="1" t="s">
        <v>5</v>
      </c>
      <c r="E11" s="57" t="s">
        <v>111</v>
      </c>
      <c r="F11" s="9">
        <v>2.5000000000000001E-2</v>
      </c>
      <c r="H11" s="123" t="s">
        <v>371</v>
      </c>
      <c r="I11" s="122">
        <f>Q16</f>
        <v>0.33744941424660363</v>
      </c>
      <c r="L11" s="54" t="s">
        <v>79</v>
      </c>
      <c r="M11" s="39">
        <f>bank_migr_width!C7</f>
        <v>0.78793459512705555</v>
      </c>
      <c r="P11" s="54" t="s">
        <v>118</v>
      </c>
      <c r="Q11" s="39">
        <f>bank_migr_width!M14</f>
        <v>1.6052702690257037</v>
      </c>
      <c r="R11" s="1" t="s">
        <v>5</v>
      </c>
      <c r="T11" s="54" t="s">
        <v>122</v>
      </c>
      <c r="U11" s="4">
        <f>F13/(B10+1)/365.25/24/60/60</f>
        <v>1.6925026223387385E-5</v>
      </c>
      <c r="V11" s="27" t="s">
        <v>43</v>
      </c>
    </row>
    <row r="12" spans="1:22" x14ac:dyDescent="0.2">
      <c r="A12" s="54" t="s">
        <v>220</v>
      </c>
      <c r="B12" s="9">
        <v>0.65</v>
      </c>
      <c r="C12" s="1" t="s">
        <v>5</v>
      </c>
      <c r="E12" s="54" t="s">
        <v>66</v>
      </c>
      <c r="F12" s="9">
        <v>2.5</v>
      </c>
      <c r="H12" s="57" t="s">
        <v>193</v>
      </c>
      <c r="I12" s="9">
        <v>0.2</v>
      </c>
      <c r="L12" s="54" t="s">
        <v>115</v>
      </c>
      <c r="M12" s="55">
        <f>I14*F15</f>
        <v>2.5899999999999995E-4</v>
      </c>
      <c r="N12" s="27" t="s">
        <v>8</v>
      </c>
      <c r="P12" s="58" t="s">
        <v>48</v>
      </c>
      <c r="Q12" s="39">
        <f>bank_migr_width!M15</f>
        <v>2.4694962156980216</v>
      </c>
      <c r="R12" s="1" t="s">
        <v>5</v>
      </c>
      <c r="T12" s="54" t="s">
        <v>123</v>
      </c>
      <c r="U12" s="1">
        <f>(1-F10)/40</f>
        <v>2.375E-2</v>
      </c>
      <c r="V12" s="27" t="s">
        <v>44</v>
      </c>
    </row>
    <row r="13" spans="1:22" x14ac:dyDescent="0.2">
      <c r="A13" s="1" t="s">
        <v>7</v>
      </c>
      <c r="B13" s="9">
        <v>0.4</v>
      </c>
      <c r="E13" s="54" t="s">
        <v>94</v>
      </c>
      <c r="F13" s="9">
        <f>1415.4</f>
        <v>1415.4</v>
      </c>
      <c r="H13" s="107" t="s">
        <v>27</v>
      </c>
      <c r="I13" s="9">
        <v>1</v>
      </c>
      <c r="L13" s="54" t="s">
        <v>80</v>
      </c>
      <c r="M13" s="39">
        <f>(U9*Q12/(U9+U10)+B12+Q11*M15)/(Calculator!I15+Calculator!B12)</f>
        <v>0.41135488332789466</v>
      </c>
      <c r="P13" s="54" t="s">
        <v>119</v>
      </c>
      <c r="Q13" s="40">
        <f>bank_migr_width!M3</f>
        <v>201.5899281242001</v>
      </c>
      <c r="R13" s="54" t="s">
        <v>3</v>
      </c>
      <c r="T13" s="54" t="s">
        <v>124</v>
      </c>
      <c r="U13" s="8">
        <f>1/(B15^2)</f>
        <v>8.2644628099173556E-3</v>
      </c>
      <c r="V13" s="27" t="s">
        <v>45</v>
      </c>
    </row>
    <row r="14" spans="1:22" x14ac:dyDescent="0.2">
      <c r="A14" s="54" t="s">
        <v>162</v>
      </c>
      <c r="B14" s="9">
        <v>0.10290000000000001</v>
      </c>
      <c r="C14" s="1" t="s">
        <v>4</v>
      </c>
      <c r="E14" s="54" t="s">
        <v>95</v>
      </c>
      <c r="F14" s="9">
        <v>1.2193000000000001</v>
      </c>
      <c r="H14" s="1" t="s">
        <v>11</v>
      </c>
      <c r="I14" s="50">
        <v>1.85E-4</v>
      </c>
      <c r="J14" s="1" t="s">
        <v>8</v>
      </c>
      <c r="L14" s="54" t="s">
        <v>81</v>
      </c>
      <c r="M14" s="39">
        <f>1-M13</f>
        <v>0.5886451166721054</v>
      </c>
      <c r="P14" s="54" t="s">
        <v>120</v>
      </c>
      <c r="Q14" s="39">
        <f>bank_migr_width!M5</f>
        <v>0.14961617559608992</v>
      </c>
      <c r="T14" s="8"/>
    </row>
    <row r="15" spans="1:22" x14ac:dyDescent="0.2">
      <c r="A15" s="54" t="s">
        <v>88</v>
      </c>
      <c r="B15" s="38">
        <v>11</v>
      </c>
      <c r="E15" s="58" t="s">
        <v>96</v>
      </c>
      <c r="F15" s="9">
        <v>1.4</v>
      </c>
      <c r="H15" s="54" t="s">
        <v>114</v>
      </c>
      <c r="I15" s="25">
        <v>4.0747664847237255</v>
      </c>
      <c r="J15" s="1" t="s">
        <v>5</v>
      </c>
      <c r="L15" s="56" t="s">
        <v>82</v>
      </c>
      <c r="M15" s="39">
        <f>bank_migr_width!C13</f>
        <v>0.80547126905410837</v>
      </c>
      <c r="P15" s="120" t="s">
        <v>345</v>
      </c>
      <c r="Q15" s="39">
        <f>bank_migr_width!M6</f>
        <v>0.68189217519121603</v>
      </c>
    </row>
    <row r="16" spans="1:22" x14ac:dyDescent="0.2">
      <c r="A16" s="27" t="s">
        <v>28</v>
      </c>
      <c r="B16" s="9">
        <v>9.81</v>
      </c>
      <c r="C16" s="27" t="s">
        <v>29</v>
      </c>
      <c r="H16" s="54" t="s">
        <v>103</v>
      </c>
      <c r="I16" s="124">
        <v>52.3</v>
      </c>
      <c r="J16" s="1" t="s">
        <v>5</v>
      </c>
      <c r="L16" s="56" t="s">
        <v>83</v>
      </c>
      <c r="M16" s="39">
        <f>bank_migr_width!C14</f>
        <v>0.19452873094589163</v>
      </c>
      <c r="P16" s="54" t="s">
        <v>121</v>
      </c>
      <c r="Q16" s="39">
        <f>bank_migr_width!M11</f>
        <v>0.33744941424660363</v>
      </c>
    </row>
    <row r="17" spans="1:35" x14ac:dyDescent="0.2">
      <c r="B17" s="53"/>
      <c r="I17" s="10"/>
      <c r="P17" s="8"/>
    </row>
    <row r="18" spans="1:35" ht="19" x14ac:dyDescent="0.25">
      <c r="A18" s="52" t="s">
        <v>370</v>
      </c>
      <c r="B18" s="53"/>
      <c r="I18" s="10"/>
      <c r="P18" s="8"/>
    </row>
    <row r="19" spans="1:35" s="28" customFormat="1" ht="18" x14ac:dyDescent="0.2">
      <c r="A19" s="60" t="s">
        <v>101</v>
      </c>
      <c r="B19" s="60" t="s">
        <v>102</v>
      </c>
      <c r="D19" s="60" t="s">
        <v>106</v>
      </c>
      <c r="F19" s="60" t="s">
        <v>125</v>
      </c>
      <c r="G19" s="60" t="s">
        <v>101</v>
      </c>
      <c r="H19" s="60" t="s">
        <v>126</v>
      </c>
      <c r="I19" s="31" t="s">
        <v>12</v>
      </c>
      <c r="J19" s="60" t="s">
        <v>127</v>
      </c>
      <c r="K19" s="34" t="s">
        <v>171</v>
      </c>
      <c r="L19" s="60" t="s">
        <v>128</v>
      </c>
      <c r="M19" s="60" t="s">
        <v>129</v>
      </c>
      <c r="N19" s="60" t="s">
        <v>130</v>
      </c>
      <c r="O19" s="60" t="s">
        <v>131</v>
      </c>
      <c r="P19" s="60" t="s">
        <v>132</v>
      </c>
      <c r="Q19" s="60" t="s">
        <v>133</v>
      </c>
      <c r="R19" s="60" t="s">
        <v>126</v>
      </c>
      <c r="S19" s="60" t="s">
        <v>134</v>
      </c>
      <c r="T19" s="60" t="s">
        <v>135</v>
      </c>
      <c r="U19" s="60" t="s">
        <v>136</v>
      </c>
      <c r="V19" s="60" t="s">
        <v>137</v>
      </c>
      <c r="W19" s="60" t="s">
        <v>138</v>
      </c>
      <c r="X19" s="60" t="s">
        <v>139</v>
      </c>
      <c r="Y19" s="60" t="s">
        <v>140</v>
      </c>
      <c r="Z19" s="29" t="s">
        <v>36</v>
      </c>
      <c r="AB19" s="32"/>
      <c r="AD19" s="33"/>
      <c r="AF19" s="32"/>
    </row>
    <row r="20" spans="1:35" s="28" customFormat="1" x14ac:dyDescent="0.2">
      <c r="A20" s="28" t="s">
        <v>6</v>
      </c>
      <c r="B20" s="29" t="s">
        <v>34</v>
      </c>
      <c r="D20" s="28" t="s">
        <v>5</v>
      </c>
      <c r="F20" s="28" t="s">
        <v>5</v>
      </c>
      <c r="G20" s="28" t="s">
        <v>3</v>
      </c>
      <c r="H20" s="28" t="s">
        <v>3</v>
      </c>
      <c r="J20" s="28" t="s">
        <v>5</v>
      </c>
      <c r="K20" s="30"/>
      <c r="L20" s="28" t="s">
        <v>3</v>
      </c>
      <c r="M20" s="28" t="s">
        <v>3</v>
      </c>
      <c r="N20" s="28" t="s">
        <v>4</v>
      </c>
      <c r="R20" s="28" t="s">
        <v>3</v>
      </c>
      <c r="S20" s="28" t="s">
        <v>2</v>
      </c>
      <c r="T20" s="28" t="s">
        <v>2</v>
      </c>
      <c r="U20" s="28" t="s">
        <v>3</v>
      </c>
      <c r="V20" s="28" t="s">
        <v>3</v>
      </c>
      <c r="X20" s="28" t="s">
        <v>2</v>
      </c>
      <c r="Y20" s="28" t="s">
        <v>2</v>
      </c>
    </row>
    <row r="21" spans="1:35" x14ac:dyDescent="0.2">
      <c r="A21" s="26">
        <v>49.999576272580406</v>
      </c>
      <c r="B21" s="24">
        <v>0.7535374324671984</v>
      </c>
      <c r="D21" s="25">
        <v>1.6085486328901986</v>
      </c>
      <c r="F21" s="6">
        <f t="shared" ref="F21:F31" si="0">IF(P21&lt;1,D21-$I$15,0)</f>
        <v>0</v>
      </c>
      <c r="G21" s="10">
        <f t="shared" ref="G21:G31" si="1">(9.81*($I$16^2)*(D21^3)*$I$14/$U$13)^(1/2)+(9.81*($B$8^2)*(F21^3)*$F$15*$I$14/$F$7)^(1/2)</f>
        <v>49.999543104413334</v>
      </c>
      <c r="H21" s="10">
        <f t="shared" ref="H21:H31" si="2">IF(P21&gt;1,0,R21)</f>
        <v>0</v>
      </c>
      <c r="I21" s="1">
        <f t="shared" ref="I21:I31" si="3">IF(H21&gt;0,1,0)</f>
        <v>0</v>
      </c>
      <c r="J21" s="6">
        <f t="shared" ref="J21:J31" si="4">11*D21/EXP(0.4*$B$15)</f>
        <v>0.2172356814826992</v>
      </c>
      <c r="K21" s="2">
        <f t="shared" ref="K21:K31" si="5">D21*$I$14/$B$10/$B$9</f>
        <v>0.2691827201127876</v>
      </c>
      <c r="L21" s="35">
        <f t="shared" ref="L21:L31" si="6">$F$11*(K21^$F$12)*(($B$10*9.81*$B$9)^0.5)*$B$9*$I$16/$U$13</f>
        <v>4.14986234698312E-4</v>
      </c>
      <c r="M21" s="36">
        <f>L21*B21</f>
        <v>3.1270766180379624E-4</v>
      </c>
      <c r="N21" s="2">
        <f t="shared" ref="N21:N31" si="7">(9.81*D21*$I$14)^0.5</f>
        <v>5.4030310811624772E-2</v>
      </c>
      <c r="O21" s="4">
        <f t="shared" ref="O21:O31" si="8">(1-I$12)*L21*0.4/$I$16/N21/D21/(SUM(B91:AO91)*$U$12)</f>
        <v>4.1613639558999479E-4</v>
      </c>
      <c r="P21" s="6">
        <f t="shared" ref="P21:P31" si="9">($I$15)/D21</f>
        <v>2.5331944595310683</v>
      </c>
      <c r="Q21" s="4">
        <f t="shared" ref="Q21:Q31" si="10">IF(SUM(B113:AO113)=0,0,O21*SUM(B69:AO69)/SUM(B113:AO113))</f>
        <v>0</v>
      </c>
      <c r="R21" s="10">
        <f t="shared" ref="R21:R31" si="11">(9.81*($B$8^2)*(F21^3)*$F$15*$I$14/$F$7)^(1/2)</f>
        <v>0</v>
      </c>
      <c r="S21" s="4">
        <f t="shared" ref="S21:S31" si="12">$F$8*Q21*R21/$B$8</f>
        <v>0</v>
      </c>
      <c r="T21" s="36">
        <f t="shared" ref="T21:T31" si="13">S21*B21</f>
        <v>0</v>
      </c>
      <c r="U21" s="8">
        <f t="shared" ref="U21:U31" si="14">$U$11*(A21^$F$14)</f>
        <v>1.9956252438129564E-3</v>
      </c>
      <c r="V21" s="36">
        <f t="shared" ref="V21:V31" si="15">U21*B21</f>
        <v>1.503778322389542E-3</v>
      </c>
      <c r="W21" s="7">
        <f t="shared" ref="W21:W31" si="16">U21/(G21-R21)</f>
        <v>3.9912869596538522E-5</v>
      </c>
      <c r="X21" s="5">
        <f t="shared" ref="X21:X31" si="17">$F$9*W21*R21/$B$8</f>
        <v>0</v>
      </c>
      <c r="Y21" s="5">
        <f t="shared" ref="Y21:Y31" si="18">X21*B21</f>
        <v>0</v>
      </c>
      <c r="Z21" s="8">
        <f t="shared" ref="Z21:Z31" si="19">G21-A21</f>
        <v>-3.3168167071551125E-5</v>
      </c>
      <c r="AA21" s="4"/>
      <c r="AB21" s="5"/>
      <c r="AC21" s="4"/>
      <c r="AD21" s="4"/>
      <c r="AE21" s="10"/>
      <c r="AF21" s="6"/>
      <c r="AH21" s="10"/>
    </row>
    <row r="22" spans="1:35" x14ac:dyDescent="0.2">
      <c r="A22" s="26">
        <v>174.9985169540314</v>
      </c>
      <c r="B22" s="24">
        <v>0.1717262670439928</v>
      </c>
      <c r="D22" s="25">
        <v>3.7080554973089859</v>
      </c>
      <c r="F22" s="6">
        <f t="shared" si="0"/>
        <v>0</v>
      </c>
      <c r="G22" s="10">
        <f t="shared" si="1"/>
        <v>174.99840086544671</v>
      </c>
      <c r="H22" s="10">
        <f t="shared" si="2"/>
        <v>0</v>
      </c>
      <c r="I22" s="1">
        <f t="shared" si="3"/>
        <v>0</v>
      </c>
      <c r="J22" s="6">
        <f t="shared" si="4"/>
        <v>0.50077563491894284</v>
      </c>
      <c r="K22" s="2">
        <f t="shared" si="5"/>
        <v>0.62052489100150376</v>
      </c>
      <c r="L22" s="35">
        <f t="shared" si="6"/>
        <v>3.3482182950261216E-3</v>
      </c>
      <c r="M22" s="36">
        <f t="shared" ref="M22:M31" si="20">L22*B22</f>
        <v>5.7497702905323807E-4</v>
      </c>
      <c r="N22" s="2">
        <f t="shared" si="7"/>
        <v>8.2033922978797094E-2</v>
      </c>
      <c r="O22" s="4">
        <f t="shared" si="8"/>
        <v>7.2718050867898924E-4</v>
      </c>
      <c r="P22" s="6">
        <f t="shared" si="9"/>
        <v>1.0988957656326528</v>
      </c>
      <c r="Q22" s="4">
        <f t="shared" si="10"/>
        <v>0</v>
      </c>
      <c r="R22" s="10">
        <f t="shared" si="11"/>
        <v>0</v>
      </c>
      <c r="S22" s="4">
        <f>$F$8*Q22*R22/$B$8</f>
        <v>0</v>
      </c>
      <c r="T22" s="36">
        <f t="shared" si="13"/>
        <v>0</v>
      </c>
      <c r="U22" s="8">
        <f t="shared" si="14"/>
        <v>9.1930824548267787E-3</v>
      </c>
      <c r="V22" s="36">
        <f t="shared" si="15"/>
        <v>1.5786937325950282E-3</v>
      </c>
      <c r="W22" s="7">
        <f t="shared" si="16"/>
        <v>5.253237977811685E-5</v>
      </c>
      <c r="X22" s="5">
        <f t="shared" si="17"/>
        <v>0</v>
      </c>
      <c r="Y22" s="5">
        <f t="shared" si="18"/>
        <v>0</v>
      </c>
      <c r="Z22" s="8">
        <f t="shared" si="19"/>
        <v>-1.160885846900328E-4</v>
      </c>
      <c r="AA22" s="4"/>
      <c r="AB22" s="5"/>
      <c r="AC22" s="4"/>
      <c r="AD22" s="4"/>
      <c r="AE22" s="10"/>
      <c r="AF22" s="6"/>
      <c r="AH22" s="10"/>
    </row>
    <row r="23" spans="1:35" x14ac:dyDescent="0.2">
      <c r="A23" s="26">
        <v>324.99724577177261</v>
      </c>
      <c r="B23" s="24">
        <v>3.8718806277334705E-2</v>
      </c>
      <c r="D23" s="25">
        <v>4.6581125761519964</v>
      </c>
      <c r="F23" s="6">
        <f t="shared" si="0"/>
        <v>0.58334609142827087</v>
      </c>
      <c r="G23" s="10">
        <f t="shared" si="1"/>
        <v>324.99726127642532</v>
      </c>
      <c r="H23" s="10">
        <f t="shared" si="2"/>
        <v>78.603497130970851</v>
      </c>
      <c r="I23" s="1">
        <f t="shared" si="3"/>
        <v>1</v>
      </c>
      <c r="J23" s="6">
        <f t="shared" si="4"/>
        <v>0.62908154544593409</v>
      </c>
      <c r="K23" s="2">
        <f t="shared" si="5"/>
        <v>0.77951228094809533</v>
      </c>
      <c r="L23" s="35">
        <f t="shared" si="6"/>
        <v>5.9220647572626513E-3</v>
      </c>
      <c r="M23" s="36">
        <f t="shared" si="20"/>
        <v>2.2929527809828376E-4</v>
      </c>
      <c r="N23" s="2">
        <f t="shared" si="7"/>
        <v>9.1944415865399087E-2</v>
      </c>
      <c r="O23" s="4">
        <f t="shared" si="8"/>
        <v>8.2295852389588484E-4</v>
      </c>
      <c r="P23" s="6">
        <f t="shared" si="9"/>
        <v>0.8747677129112742</v>
      </c>
      <c r="Q23" s="4">
        <f t="shared" si="10"/>
        <v>2.8324193828737735E-10</v>
      </c>
      <c r="R23" s="10">
        <f t="shared" si="11"/>
        <v>78.603497130970851</v>
      </c>
      <c r="S23" s="4">
        <f t="shared" si="12"/>
        <v>1.5902719202530352E-12</v>
      </c>
      <c r="T23" s="36">
        <f t="shared" si="13"/>
        <v>6.1573430408562332E-14</v>
      </c>
      <c r="U23" s="8">
        <f t="shared" si="14"/>
        <v>1.9555289274351507E-2</v>
      </c>
      <c r="V23" s="36">
        <f t="shared" si="15"/>
        <v>7.5715745711085714E-4</v>
      </c>
      <c r="W23" s="7">
        <f t="shared" si="16"/>
        <v>7.9366007261479909E-5</v>
      </c>
      <c r="X23" s="5">
        <f t="shared" si="17"/>
        <v>2.2280163300265527E-7</v>
      </c>
      <c r="Y23" s="5">
        <f t="shared" si="18"/>
        <v>8.6266132665036314E-9</v>
      </c>
      <c r="Z23" s="8">
        <f t="shared" si="19"/>
        <v>1.5504652708386857E-5</v>
      </c>
      <c r="AA23" s="4"/>
      <c r="AB23" s="5"/>
      <c r="AC23" s="4"/>
      <c r="AD23" s="4"/>
      <c r="AE23" s="10"/>
      <c r="AF23" s="6"/>
      <c r="AH23" s="10"/>
    </row>
    <row r="24" spans="1:35" x14ac:dyDescent="0.2">
      <c r="A24" s="26">
        <v>474.99597458951382</v>
      </c>
      <c r="B24" s="24">
        <v>1.8909184461023926E-2</v>
      </c>
      <c r="D24" s="25">
        <v>5.1271510412517829</v>
      </c>
      <c r="F24" s="6">
        <f t="shared" si="0"/>
        <v>1.0523845565280574</v>
      </c>
      <c r="G24" s="10">
        <f t="shared" si="1"/>
        <v>474.99509270166334</v>
      </c>
      <c r="H24" s="10">
        <f t="shared" si="2"/>
        <v>190.46453884772836</v>
      </c>
      <c r="I24" s="1">
        <f t="shared" si="3"/>
        <v>1</v>
      </c>
      <c r="J24" s="6">
        <f t="shared" si="4"/>
        <v>0.69242553674601348</v>
      </c>
      <c r="K24" s="2">
        <f t="shared" si="5"/>
        <v>0.85800356637863395</v>
      </c>
      <c r="L24" s="35">
        <f t="shared" si="6"/>
        <v>7.5272870901362289E-3</v>
      </c>
      <c r="M24" s="36">
        <f t="shared" si="20"/>
        <v>1.4233486007846999E-4</v>
      </c>
      <c r="N24" s="2">
        <f t="shared" si="7"/>
        <v>9.6462480100896211E-2</v>
      </c>
      <c r="O24" s="4">
        <f t="shared" si="8"/>
        <v>8.6356164788297188E-4</v>
      </c>
      <c r="P24" s="6">
        <f t="shared" si="9"/>
        <v>0.7947428214888087</v>
      </c>
      <c r="Q24" s="4">
        <f t="shared" si="10"/>
        <v>2.1618074957643932E-9</v>
      </c>
      <c r="R24" s="10">
        <f t="shared" si="11"/>
        <v>190.46453884772836</v>
      </c>
      <c r="S24" s="4">
        <f t="shared" si="12"/>
        <v>2.9410547697023398E-11</v>
      </c>
      <c r="T24" s="36">
        <f t="shared" si="13"/>
        <v>5.5612947150275789E-13</v>
      </c>
      <c r="U24" s="8">
        <f t="shared" si="14"/>
        <v>3.1061139270043163E-2</v>
      </c>
      <c r="V24" s="36">
        <f t="shared" si="15"/>
        <v>5.8734081202680029E-4</v>
      </c>
      <c r="W24" s="7">
        <f t="shared" si="16"/>
        <v>1.0916627001678187E-4</v>
      </c>
      <c r="X24" s="5">
        <f t="shared" si="17"/>
        <v>7.4258225987403415E-7</v>
      </c>
      <c r="Y24" s="5">
        <f t="shared" si="18"/>
        <v>1.4041624929442118E-8</v>
      </c>
      <c r="Z24" s="8">
        <f t="shared" si="19"/>
        <v>-8.8188785048259888E-4</v>
      </c>
      <c r="AA24" s="4"/>
      <c r="AB24" s="5"/>
      <c r="AC24" s="4"/>
      <c r="AD24" s="4"/>
      <c r="AE24" s="10"/>
      <c r="AF24" s="6"/>
      <c r="AH24" s="10"/>
    </row>
    <row r="25" spans="1:35" x14ac:dyDescent="0.2">
      <c r="A25" s="26">
        <v>624.99470340725509</v>
      </c>
      <c r="B25" s="24">
        <v>1.0419346539747878E-2</v>
      </c>
      <c r="D25" s="25">
        <v>5.5215387390786796</v>
      </c>
      <c r="F25" s="6">
        <f t="shared" si="0"/>
        <v>1.4467722543549542</v>
      </c>
      <c r="G25" s="10">
        <f t="shared" si="1"/>
        <v>624.99386742376646</v>
      </c>
      <c r="H25" s="10">
        <f t="shared" si="2"/>
        <v>307.01011705689177</v>
      </c>
      <c r="I25" s="1">
        <f t="shared" si="3"/>
        <v>1</v>
      </c>
      <c r="J25" s="6">
        <f t="shared" si="4"/>
        <v>0.7456878867639174</v>
      </c>
      <c r="K25" s="2">
        <f t="shared" si="5"/>
        <v>0.92400241223840407</v>
      </c>
      <c r="L25" s="35">
        <f t="shared" si="6"/>
        <v>9.0593806987412095E-3</v>
      </c>
      <c r="M25" s="36">
        <f t="shared" si="20"/>
        <v>9.4392826935687935E-5</v>
      </c>
      <c r="N25" s="2">
        <f t="shared" si="7"/>
        <v>0.10010376906299254</v>
      </c>
      <c r="O25" s="4">
        <f t="shared" si="8"/>
        <v>8.9488236652743585E-4</v>
      </c>
      <c r="P25" s="6">
        <f t="shared" si="9"/>
        <v>0.73797661798233405</v>
      </c>
      <c r="Q25" s="4">
        <f t="shared" si="10"/>
        <v>9.0438750397643402E-9</v>
      </c>
      <c r="R25" s="10">
        <f t="shared" si="11"/>
        <v>307.01011705689177</v>
      </c>
      <c r="S25" s="4">
        <f t="shared" si="12"/>
        <v>1.9832579532899655E-10</v>
      </c>
      <c r="T25" s="36">
        <f t="shared" si="13"/>
        <v>2.066425189303926E-12</v>
      </c>
      <c r="U25" s="8">
        <f t="shared" si="14"/>
        <v>4.3405160634472632E-2</v>
      </c>
      <c r="V25" s="36">
        <f t="shared" si="15"/>
        <v>4.522534102639932E-4</v>
      </c>
      <c r="W25" s="7">
        <f t="shared" si="16"/>
        <v>1.3650119097090275E-4</v>
      </c>
      <c r="X25" s="5">
        <f t="shared" si="17"/>
        <v>1.4966873792279284E-6</v>
      </c>
      <c r="Y25" s="5">
        <f t="shared" si="18"/>
        <v>1.5594504465842835E-8</v>
      </c>
      <c r="Z25" s="8">
        <f t="shared" si="19"/>
        <v>-8.3598348862778948E-4</v>
      </c>
      <c r="AA25" s="4"/>
      <c r="AB25" s="5"/>
      <c r="AC25" s="4"/>
      <c r="AD25" s="4"/>
      <c r="AE25" s="10"/>
      <c r="AF25" s="6"/>
      <c r="AH25" s="10"/>
      <c r="AI25" s="10"/>
    </row>
    <row r="26" spans="1:35" x14ac:dyDescent="0.2">
      <c r="A26" s="26">
        <v>774.99343222499635</v>
      </c>
      <c r="B26" s="24">
        <v>3.9876511448417801E-3</v>
      </c>
      <c r="D26" s="25">
        <v>5.8746807438705693</v>
      </c>
      <c r="F26" s="6">
        <f t="shared" si="0"/>
        <v>1.7999142591468438</v>
      </c>
      <c r="G26" s="10">
        <f t="shared" si="1"/>
        <v>774.99261879753635</v>
      </c>
      <c r="H26" s="10">
        <f t="shared" si="2"/>
        <v>426.0201651041088</v>
      </c>
      <c r="I26" s="1">
        <f t="shared" si="3"/>
        <v>1</v>
      </c>
      <c r="J26" s="6">
        <f t="shared" si="4"/>
        <v>0.79337997545960903</v>
      </c>
      <c r="K26" s="2">
        <f t="shared" si="5"/>
        <v>0.98309899377300336</v>
      </c>
      <c r="L26" s="35">
        <f t="shared" si="6"/>
        <v>1.0578129432482227E-2</v>
      </c>
      <c r="M26" s="36">
        <f t="shared" si="20"/>
        <v>4.2181889941722286E-5</v>
      </c>
      <c r="N26" s="2">
        <f t="shared" si="7"/>
        <v>0.1032553356878641</v>
      </c>
      <c r="O26" s="4">
        <f t="shared" si="8"/>
        <v>9.2099052153181231E-4</v>
      </c>
      <c r="P26" s="6">
        <f t="shared" si="9"/>
        <v>0.6936149660515919</v>
      </c>
      <c r="Q26" s="4">
        <f t="shared" si="10"/>
        <v>1.6957574833222163E-8</v>
      </c>
      <c r="R26" s="10">
        <f t="shared" si="11"/>
        <v>426.0201651041088</v>
      </c>
      <c r="S26" s="4">
        <f t="shared" si="12"/>
        <v>5.1601920215818473E-10</v>
      </c>
      <c r="T26" s="36">
        <f t="shared" si="13"/>
        <v>2.0577045622464274E-12</v>
      </c>
      <c r="U26" s="8">
        <f t="shared" si="14"/>
        <v>5.6422253587246958E-2</v>
      </c>
      <c r="V26" s="36">
        <f t="shared" si="15"/>
        <v>2.2499226411173856E-4</v>
      </c>
      <c r="W26" s="7">
        <f t="shared" si="16"/>
        <v>1.616811097554821E-4</v>
      </c>
      <c r="X26" s="5">
        <f t="shared" si="17"/>
        <v>2.4599790382945008E-6</v>
      </c>
      <c r="Y26" s="5">
        <f t="shared" si="18"/>
        <v>9.809538228341848E-9</v>
      </c>
      <c r="Z26" s="8">
        <f t="shared" si="19"/>
        <v>-8.1342746000245825E-4</v>
      </c>
      <c r="AA26" s="4"/>
      <c r="AB26" s="5"/>
      <c r="AC26" s="4"/>
      <c r="AD26" s="4"/>
      <c r="AE26" s="10"/>
      <c r="AF26" s="6"/>
      <c r="AH26" s="10"/>
      <c r="AI26" s="10"/>
    </row>
    <row r="27" spans="1:35" x14ac:dyDescent="0.2">
      <c r="A27" s="26">
        <v>924.99216104273751</v>
      </c>
      <c r="B27" s="24">
        <v>1.6722408026755853E-3</v>
      </c>
      <c r="D27" s="25">
        <v>6.2000900842634685</v>
      </c>
      <c r="F27" s="6">
        <f t="shared" si="0"/>
        <v>2.125323599539743</v>
      </c>
      <c r="G27" s="10">
        <f t="shared" si="1"/>
        <v>924.99135979243397</v>
      </c>
      <c r="H27" s="10">
        <f t="shared" si="2"/>
        <v>546.62567550820154</v>
      </c>
      <c r="I27" s="1">
        <f t="shared" si="3"/>
        <v>1</v>
      </c>
      <c r="J27" s="6">
        <f t="shared" si="4"/>
        <v>0.83732674733561518</v>
      </c>
      <c r="K27" s="2">
        <f t="shared" si="5"/>
        <v>1.0375546500124304</v>
      </c>
      <c r="L27" s="35">
        <f t="shared" si="6"/>
        <v>1.210439814997242E-2</v>
      </c>
      <c r="M27" s="36">
        <f t="shared" si="20"/>
        <v>2.0241468478214749E-5</v>
      </c>
      <c r="N27" s="2">
        <f t="shared" si="7"/>
        <v>0.10607654542558198</v>
      </c>
      <c r="O27" s="4">
        <f t="shared" si="8"/>
        <v>9.435868986476339E-4</v>
      </c>
      <c r="P27" s="6">
        <f t="shared" si="9"/>
        <v>0.65721085167229176</v>
      </c>
      <c r="Q27" s="4">
        <f t="shared" si="10"/>
        <v>3.6998902522555127E-8</v>
      </c>
      <c r="R27" s="10">
        <f t="shared" si="11"/>
        <v>546.62567550820154</v>
      </c>
      <c r="S27" s="4">
        <f t="shared" si="12"/>
        <v>1.4446107203181286E-9</v>
      </c>
      <c r="T27" s="36">
        <f t="shared" si="13"/>
        <v>2.4157369904985429E-12</v>
      </c>
      <c r="U27" s="8">
        <f t="shared" si="14"/>
        <v>7.0007001627054033E-2</v>
      </c>
      <c r="V27" s="36">
        <f t="shared" si="15"/>
        <v>1.1706856459373584E-4</v>
      </c>
      <c r="W27" s="7">
        <f t="shared" si="16"/>
        <v>1.8502471163443039E-4</v>
      </c>
      <c r="X27" s="5">
        <f t="shared" si="17"/>
        <v>3.6121163565314536E-6</v>
      </c>
      <c r="Y27" s="5">
        <f t="shared" si="18"/>
        <v>6.0403283554037685E-9</v>
      </c>
      <c r="Z27" s="8">
        <f t="shared" si="19"/>
        <v>-8.0125030353883631E-4</v>
      </c>
      <c r="AA27" s="4"/>
      <c r="AB27" s="5"/>
      <c r="AC27" s="4"/>
      <c r="AD27" s="4"/>
      <c r="AE27" s="10"/>
      <c r="AF27" s="6"/>
      <c r="AH27" s="10"/>
      <c r="AI27" s="10"/>
    </row>
    <row r="28" spans="1:35" x14ac:dyDescent="0.2">
      <c r="A28" s="26">
        <v>1074.9908898604788</v>
      </c>
      <c r="B28" s="24">
        <v>3.8590172369436584E-4</v>
      </c>
      <c r="D28" s="25">
        <v>6.5049830455431401</v>
      </c>
      <c r="F28" s="6">
        <f t="shared" si="0"/>
        <v>2.4302165608194146</v>
      </c>
      <c r="G28" s="10">
        <f t="shared" si="1"/>
        <v>1074.9900952288451</v>
      </c>
      <c r="H28" s="10">
        <f t="shared" si="2"/>
        <v>668.37453377874772</v>
      </c>
      <c r="I28" s="1">
        <f t="shared" si="3"/>
        <v>1</v>
      </c>
      <c r="J28" s="6">
        <f t="shared" si="4"/>
        <v>0.87850276705213493</v>
      </c>
      <c r="K28" s="2">
        <f t="shared" si="5"/>
        <v>1.0885769908869118</v>
      </c>
      <c r="L28" s="35">
        <f t="shared" si="6"/>
        <v>1.3647830616876799E-2</v>
      </c>
      <c r="M28" s="36">
        <f t="shared" si="20"/>
        <v>5.2667213597414969E-6</v>
      </c>
      <c r="N28" s="2">
        <f t="shared" si="7"/>
        <v>0.10865343289654482</v>
      </c>
      <c r="O28" s="4">
        <f t="shared" si="8"/>
        <v>9.6359821766655673E-4</v>
      </c>
      <c r="P28" s="6">
        <f t="shared" si="9"/>
        <v>0.62640693391438329</v>
      </c>
      <c r="Q28" s="4">
        <f t="shared" si="10"/>
        <v>5.9060566615043854E-8</v>
      </c>
      <c r="R28" s="10">
        <f t="shared" si="11"/>
        <v>668.37453377874772</v>
      </c>
      <c r="S28" s="4">
        <f t="shared" si="12"/>
        <v>2.8196127625741867E-9</v>
      </c>
      <c r="T28" s="36">
        <f t="shared" si="13"/>
        <v>1.0880934252280115E-12</v>
      </c>
      <c r="U28" s="8">
        <f t="shared" si="14"/>
        <v>8.4085517838591223E-2</v>
      </c>
      <c r="V28" s="36">
        <f t="shared" si="15"/>
        <v>3.2448746271645701E-5</v>
      </c>
      <c r="W28" s="7">
        <f t="shared" si="16"/>
        <v>2.0679365427806126E-4</v>
      </c>
      <c r="X28" s="5">
        <f t="shared" si="17"/>
        <v>4.9362718666608126E-6</v>
      </c>
      <c r="Y28" s="5">
        <f t="shared" si="18"/>
        <v>1.9049158219684124E-9</v>
      </c>
      <c r="Z28" s="8">
        <f t="shared" si="19"/>
        <v>-7.9463163365289802E-4</v>
      </c>
      <c r="AA28" s="4"/>
      <c r="AB28" s="5"/>
      <c r="AC28" s="4"/>
      <c r="AD28" s="4"/>
      <c r="AE28" s="10"/>
      <c r="AF28" s="6"/>
      <c r="AH28" s="10"/>
      <c r="AI28" s="10"/>
    </row>
    <row r="29" spans="1:35" x14ac:dyDescent="0.2">
      <c r="A29" s="26">
        <v>1224.9896186782198</v>
      </c>
      <c r="B29" s="24">
        <v>1.2863390789812196E-4</v>
      </c>
      <c r="D29" s="25">
        <v>6.7937975639465558</v>
      </c>
      <c r="F29" s="6">
        <f t="shared" si="0"/>
        <v>2.7190310792228303</v>
      </c>
      <c r="G29" s="10">
        <f t="shared" si="1"/>
        <v>1224.9888273475606</v>
      </c>
      <c r="H29" s="10">
        <f t="shared" si="2"/>
        <v>790.99490781502948</v>
      </c>
      <c r="I29" s="1">
        <f t="shared" si="3"/>
        <v>1</v>
      </c>
      <c r="J29" s="6">
        <f t="shared" si="4"/>
        <v>0.91750738117731223</v>
      </c>
      <c r="K29" s="2">
        <f t="shared" si="5"/>
        <v>1.1369086832475013</v>
      </c>
      <c r="L29" s="35">
        <f t="shared" si="6"/>
        <v>1.5213519880788846E-2</v>
      </c>
      <c r="M29" s="36">
        <f t="shared" si="20"/>
        <v>1.9569745151516397E-6</v>
      </c>
      <c r="N29" s="2">
        <f t="shared" si="7"/>
        <v>0.1110392881323021</v>
      </c>
      <c r="O29" s="4">
        <f t="shared" si="8"/>
        <v>9.8160193207115823E-4</v>
      </c>
      <c r="P29" s="6">
        <f t="shared" si="9"/>
        <v>0.59977743616438728</v>
      </c>
      <c r="Q29" s="4">
        <f t="shared" si="10"/>
        <v>9.007083446525739E-8</v>
      </c>
      <c r="R29" s="10">
        <f t="shared" si="11"/>
        <v>790.99490781502948</v>
      </c>
      <c r="S29" s="4">
        <f t="shared" si="12"/>
        <v>5.0889693860477894E-9</v>
      </c>
      <c r="T29" s="36">
        <f t="shared" si="13"/>
        <v>6.5461401930123356E-13</v>
      </c>
      <c r="U29" s="8">
        <f t="shared" si="14"/>
        <v>9.8602788179385822E-2</v>
      </c>
      <c r="V29" s="36">
        <f t="shared" si="15"/>
        <v>1.2683661973165144E-5</v>
      </c>
      <c r="W29" s="7">
        <f t="shared" si="16"/>
        <v>2.2719854758701245E-4</v>
      </c>
      <c r="X29" s="5">
        <f t="shared" si="17"/>
        <v>6.4183176501534827E-6</v>
      </c>
      <c r="Y29" s="5">
        <f t="shared" si="18"/>
        <v>8.2561328147073368E-10</v>
      </c>
      <c r="Z29" s="8">
        <f t="shared" si="19"/>
        <v>-7.9133065923997492E-4</v>
      </c>
      <c r="AA29" s="4"/>
      <c r="AB29" s="5"/>
      <c r="AC29" s="4"/>
      <c r="AD29" s="4"/>
      <c r="AE29" s="10"/>
      <c r="AF29" s="6"/>
      <c r="AH29" s="10"/>
      <c r="AI29" s="10"/>
    </row>
    <row r="30" spans="1:35" x14ac:dyDescent="0.2">
      <c r="A30" s="26">
        <v>1374.9883474959611</v>
      </c>
      <c r="B30" s="24">
        <v>1.2863390789812196E-4</v>
      </c>
      <c r="D30" s="25">
        <v>7.0695128619039069</v>
      </c>
      <c r="F30" s="6">
        <f t="shared" si="0"/>
        <v>2.9947463771801814</v>
      </c>
      <c r="G30" s="10">
        <f t="shared" si="1"/>
        <v>1374.9875573407303</v>
      </c>
      <c r="H30" s="10">
        <f t="shared" si="2"/>
        <v>914.30796342385156</v>
      </c>
      <c r="I30" s="1">
        <f t="shared" si="3"/>
        <v>1</v>
      </c>
      <c r="J30" s="6">
        <f t="shared" si="4"/>
        <v>0.95474293590179216</v>
      </c>
      <c r="K30" s="2">
        <f t="shared" si="5"/>
        <v>1.183048285348008</v>
      </c>
      <c r="L30" s="35">
        <f t="shared" si="6"/>
        <v>1.6804357946743887E-2</v>
      </c>
      <c r="M30" s="36">
        <f t="shared" si="20"/>
        <v>2.161610232408527E-6</v>
      </c>
      <c r="N30" s="2">
        <f t="shared" si="7"/>
        <v>0.1132700552548038</v>
      </c>
      <c r="O30" s="4">
        <f t="shared" si="8"/>
        <v>9.9798897411284182E-4</v>
      </c>
      <c r="P30" s="6">
        <f t="shared" si="9"/>
        <v>0.57638575165224903</v>
      </c>
      <c r="Q30" s="4">
        <f t="shared" si="10"/>
        <v>1.324417885123388E-7</v>
      </c>
      <c r="R30" s="10">
        <f t="shared" si="11"/>
        <v>914.30796342385156</v>
      </c>
      <c r="S30" s="4">
        <f t="shared" si="12"/>
        <v>8.6494701376377828E-9</v>
      </c>
      <c r="T30" s="36">
        <f t="shared" si="13"/>
        <v>1.1126151450524548E-12</v>
      </c>
      <c r="U30" s="8">
        <f t="shared" si="14"/>
        <v>0.11351606879169426</v>
      </c>
      <c r="V30" s="36">
        <f t="shared" si="15"/>
        <v>1.4602015537907676E-5</v>
      </c>
      <c r="W30" s="7">
        <f t="shared" si="16"/>
        <v>2.4641002182565995E-4</v>
      </c>
      <c r="X30" s="5">
        <f t="shared" si="17"/>
        <v>8.046237329380214E-6</v>
      </c>
      <c r="Y30" s="5">
        <f t="shared" si="18"/>
        <v>1.0350189515539253E-9</v>
      </c>
      <c r="Z30" s="8">
        <f t="shared" si="19"/>
        <v>-7.9015523078851402E-4</v>
      </c>
      <c r="AA30" s="4"/>
      <c r="AB30" s="5"/>
      <c r="AC30" s="4"/>
      <c r="AD30" s="4"/>
      <c r="AE30" s="10"/>
      <c r="AF30" s="6"/>
      <c r="AH30" s="10"/>
      <c r="AI30" s="10"/>
    </row>
    <row r="31" spans="1:35" x14ac:dyDescent="0.2">
      <c r="A31" s="26">
        <v>1524.9870763137023</v>
      </c>
      <c r="B31" s="24">
        <v>2.5726781579624391E-4</v>
      </c>
      <c r="D31" s="25">
        <v>7.3342530452743118</v>
      </c>
      <c r="F31" s="6">
        <f t="shared" si="0"/>
        <v>3.2594865605505863</v>
      </c>
      <c r="G31" s="10">
        <f t="shared" si="1"/>
        <v>1524.9862859031541</v>
      </c>
      <c r="H31" s="10">
        <f t="shared" si="2"/>
        <v>1038.1885197073175</v>
      </c>
      <c r="I31" s="1">
        <f t="shared" si="3"/>
        <v>1</v>
      </c>
      <c r="J31" s="6">
        <f t="shared" si="4"/>
        <v>0.99049629329142264</v>
      </c>
      <c r="K31" s="2">
        <f t="shared" si="5"/>
        <v>1.2273512558803688</v>
      </c>
      <c r="L31" s="35">
        <f t="shared" si="6"/>
        <v>1.842204869909007E-2</v>
      </c>
      <c r="M31" s="36">
        <f t="shared" si="20"/>
        <v>4.7394002313069389E-6</v>
      </c>
      <c r="N31" s="2">
        <f t="shared" si="7"/>
        <v>0.11537143987667002</v>
      </c>
      <c r="O31" s="4">
        <f t="shared" si="8"/>
        <v>1.0130394725384631E-3</v>
      </c>
      <c r="P31" s="6">
        <f t="shared" si="9"/>
        <v>0.55558029693960786</v>
      </c>
      <c r="Q31" s="4">
        <f t="shared" si="10"/>
        <v>1.8902623696922129E-7</v>
      </c>
      <c r="R31" s="10">
        <f t="shared" si="11"/>
        <v>1038.1885197073175</v>
      </c>
      <c r="S31" s="4">
        <f t="shared" si="12"/>
        <v>1.4017490653208605E-8</v>
      </c>
      <c r="T31" s="36">
        <f t="shared" si="13"/>
        <v>3.6062492032952422E-12</v>
      </c>
      <c r="U31" s="8">
        <f t="shared" si="14"/>
        <v>0.12879107940456766</v>
      </c>
      <c r="V31" s="36">
        <f t="shared" si="15"/>
        <v>3.3133799692453739E-5</v>
      </c>
      <c r="W31" s="7">
        <f t="shared" si="16"/>
        <v>2.6456793425949198E-4</v>
      </c>
      <c r="X31" s="5">
        <f t="shared" si="17"/>
        <v>9.8096925725316038E-6</v>
      </c>
      <c r="Y31" s="5">
        <f t="shared" si="18"/>
        <v>2.5237181817678428E-9</v>
      </c>
      <c r="Z31" s="8">
        <f t="shared" si="19"/>
        <v>-7.9041054823392187E-4</v>
      </c>
      <c r="AA31" s="4"/>
      <c r="AB31" s="5"/>
      <c r="AC31" s="4"/>
      <c r="AD31" s="4"/>
      <c r="AE31" s="10"/>
      <c r="AF31" s="6"/>
      <c r="AH31" s="10"/>
      <c r="AI31" s="10"/>
    </row>
    <row r="32" spans="1:35" x14ac:dyDescent="0.2">
      <c r="A32" s="26"/>
      <c r="B32" s="24"/>
      <c r="D32" s="25"/>
      <c r="F32" s="6"/>
      <c r="G32" s="10"/>
      <c r="H32" s="10"/>
      <c r="J32" s="6"/>
      <c r="K32" s="2"/>
      <c r="L32" s="35"/>
      <c r="M32" s="36"/>
      <c r="N32" s="2"/>
      <c r="O32" s="4"/>
      <c r="P32" s="6"/>
      <c r="Q32" s="4"/>
      <c r="R32" s="10"/>
      <c r="S32" s="4"/>
      <c r="T32" s="36"/>
      <c r="U32" s="8"/>
      <c r="V32" s="36"/>
      <c r="W32" s="7"/>
      <c r="X32" s="5"/>
      <c r="Y32" s="5"/>
      <c r="Z32" s="8"/>
      <c r="AA32" s="4"/>
      <c r="AB32" s="5"/>
      <c r="AC32" s="4"/>
      <c r="AD32" s="4"/>
      <c r="AE32" s="10"/>
      <c r="AF32" s="6"/>
      <c r="AH32" s="10"/>
      <c r="AI32" s="10"/>
    </row>
    <row r="33" spans="1:41" x14ac:dyDescent="0.2">
      <c r="A33" s="26"/>
      <c r="B33" s="24"/>
      <c r="D33" s="25"/>
      <c r="F33" s="6"/>
      <c r="G33" s="10"/>
      <c r="H33" s="10"/>
      <c r="J33" s="6"/>
      <c r="K33" s="2"/>
      <c r="L33" s="35"/>
      <c r="M33" s="36"/>
      <c r="N33" s="2"/>
      <c r="O33" s="4"/>
      <c r="P33" s="6"/>
      <c r="Q33" s="4"/>
      <c r="R33" s="10"/>
      <c r="S33" s="4"/>
      <c r="T33" s="36"/>
      <c r="U33" s="8"/>
      <c r="V33" s="36"/>
      <c r="W33" s="7"/>
      <c r="X33" s="5"/>
      <c r="Y33" s="5"/>
      <c r="Z33" s="8"/>
      <c r="AA33" s="4"/>
      <c r="AB33" s="5"/>
      <c r="AC33" s="4"/>
      <c r="AD33" s="4"/>
      <c r="AE33" s="10"/>
      <c r="AF33" s="6"/>
      <c r="AH33" s="10"/>
      <c r="AI33" s="10"/>
    </row>
    <row r="34" spans="1:41" x14ac:dyDescent="0.2">
      <c r="A34" s="26"/>
      <c r="B34" s="24"/>
      <c r="D34" s="25"/>
      <c r="F34" s="6"/>
      <c r="G34" s="10"/>
      <c r="H34" s="10"/>
      <c r="J34" s="6"/>
      <c r="K34" s="2"/>
      <c r="L34" s="35"/>
      <c r="M34" s="36"/>
      <c r="N34" s="2"/>
      <c r="O34" s="4"/>
      <c r="P34" s="6"/>
      <c r="Q34" s="4"/>
      <c r="R34" s="10"/>
      <c r="S34" s="4"/>
      <c r="T34" s="36"/>
      <c r="U34" s="8"/>
      <c r="V34" s="36"/>
      <c r="W34" s="7"/>
      <c r="X34" s="5"/>
      <c r="Y34" s="5"/>
      <c r="Z34" s="8"/>
      <c r="AA34" s="4"/>
      <c r="AB34" s="5"/>
      <c r="AC34" s="4"/>
      <c r="AD34" s="4"/>
      <c r="AE34" s="10"/>
      <c r="AF34" s="6"/>
      <c r="AH34" s="10"/>
      <c r="AI34" s="10"/>
    </row>
    <row r="35" spans="1:41" x14ac:dyDescent="0.2">
      <c r="A35" s="26"/>
      <c r="B35" s="24"/>
      <c r="D35" s="25"/>
      <c r="F35" s="6"/>
      <c r="G35" s="10"/>
      <c r="H35" s="10"/>
      <c r="J35" s="6"/>
      <c r="K35" s="2"/>
      <c r="L35" s="35"/>
      <c r="M35" s="36"/>
      <c r="N35" s="2"/>
      <c r="O35" s="4"/>
      <c r="P35" s="6"/>
      <c r="Q35" s="4"/>
      <c r="R35" s="10"/>
      <c r="S35" s="4"/>
      <c r="T35" s="36"/>
      <c r="U35" s="8"/>
      <c r="V35" s="36"/>
      <c r="W35" s="7"/>
      <c r="X35" s="5"/>
      <c r="Y35" s="5"/>
      <c r="Z35" s="8"/>
      <c r="AA35" s="4"/>
      <c r="AB35" s="5"/>
      <c r="AC35" s="4"/>
      <c r="AD35" s="4"/>
      <c r="AE35" s="10"/>
      <c r="AF35" s="6"/>
      <c r="AH35" s="10"/>
      <c r="AI35" s="10"/>
    </row>
    <row r="36" spans="1:41" x14ac:dyDescent="0.2">
      <c r="A36" s="26"/>
      <c r="B36" s="24"/>
      <c r="D36" s="25"/>
      <c r="F36" s="6"/>
      <c r="G36" s="10"/>
      <c r="H36" s="10"/>
      <c r="J36" s="6"/>
      <c r="K36" s="2"/>
      <c r="L36" s="35"/>
      <c r="M36" s="36"/>
      <c r="N36" s="2"/>
      <c r="O36" s="4"/>
      <c r="P36" s="6"/>
      <c r="Q36" s="4"/>
      <c r="R36" s="10"/>
      <c r="S36" s="4"/>
      <c r="T36" s="36"/>
      <c r="U36" s="8"/>
      <c r="V36" s="36"/>
      <c r="W36" s="7"/>
      <c r="X36" s="5"/>
      <c r="Y36" s="5"/>
      <c r="Z36" s="8"/>
      <c r="AA36" s="4"/>
      <c r="AB36" s="5"/>
      <c r="AC36" s="4"/>
      <c r="AD36" s="4"/>
      <c r="AE36" s="10"/>
      <c r="AF36" s="6"/>
      <c r="AH36" s="10"/>
      <c r="AI36" s="10"/>
    </row>
    <row r="37" spans="1:41" x14ac:dyDescent="0.2">
      <c r="A37" s="26"/>
      <c r="B37" s="24"/>
      <c r="D37" s="25"/>
      <c r="F37" s="6"/>
      <c r="G37" s="10"/>
      <c r="H37" s="10"/>
      <c r="J37" s="6"/>
      <c r="K37" s="2"/>
      <c r="L37" s="35"/>
      <c r="M37" s="36"/>
      <c r="N37" s="2"/>
      <c r="O37" s="4"/>
      <c r="P37" s="6"/>
      <c r="Q37" s="4"/>
      <c r="R37" s="10"/>
      <c r="S37" s="4"/>
      <c r="T37" s="36"/>
      <c r="U37" s="8"/>
      <c r="V37" s="36"/>
      <c r="W37" s="7"/>
      <c r="X37" s="5"/>
      <c r="Y37" s="5"/>
      <c r="Z37" s="8"/>
      <c r="AA37" s="4"/>
      <c r="AB37" s="5"/>
      <c r="AC37" s="4"/>
      <c r="AD37" s="4"/>
      <c r="AE37" s="10"/>
      <c r="AF37" s="6"/>
      <c r="AH37" s="10"/>
      <c r="AI37" s="10"/>
    </row>
    <row r="38" spans="1:41" x14ac:dyDescent="0.2">
      <c r="A38" s="26"/>
      <c r="B38" s="24"/>
      <c r="D38" s="25"/>
      <c r="F38" s="6"/>
      <c r="G38" s="10"/>
      <c r="H38" s="10"/>
      <c r="J38" s="6"/>
      <c r="K38" s="2"/>
      <c r="L38" s="35"/>
      <c r="M38" s="36"/>
      <c r="N38" s="2"/>
      <c r="O38" s="4"/>
      <c r="P38" s="6"/>
      <c r="Q38" s="4"/>
      <c r="R38" s="10"/>
      <c r="S38" s="4"/>
      <c r="T38" s="36"/>
      <c r="U38" s="8"/>
      <c r="V38" s="36"/>
      <c r="W38" s="7"/>
      <c r="X38" s="5"/>
      <c r="Y38" s="5"/>
      <c r="Z38" s="8"/>
      <c r="AA38" s="4"/>
      <c r="AB38" s="5"/>
      <c r="AC38" s="4"/>
      <c r="AD38" s="4"/>
      <c r="AE38" s="10"/>
      <c r="AF38" s="6"/>
      <c r="AH38" s="10"/>
      <c r="AI38" s="10"/>
    </row>
    <row r="39" spans="1:41" x14ac:dyDescent="0.2">
      <c r="A39" s="26"/>
      <c r="B39" s="24"/>
      <c r="D39" s="25"/>
      <c r="F39" s="6"/>
      <c r="G39" s="10"/>
      <c r="H39" s="10"/>
      <c r="J39" s="6"/>
      <c r="K39" s="2"/>
      <c r="L39" s="35"/>
      <c r="M39" s="36"/>
      <c r="N39" s="2"/>
      <c r="O39" s="4"/>
      <c r="P39" s="6"/>
      <c r="Q39" s="4"/>
      <c r="R39" s="10"/>
      <c r="S39" s="4"/>
      <c r="T39" s="36"/>
      <c r="U39" s="8"/>
      <c r="V39" s="36"/>
      <c r="W39" s="7"/>
      <c r="X39" s="5"/>
      <c r="Y39" s="5"/>
      <c r="Z39" s="8"/>
      <c r="AA39" s="4"/>
      <c r="AB39" s="5"/>
      <c r="AC39" s="4"/>
      <c r="AD39" s="4"/>
      <c r="AE39" s="10"/>
      <c r="AF39" s="6"/>
      <c r="AH39" s="10"/>
      <c r="AI39" s="10"/>
    </row>
    <row r="40" spans="1:41" x14ac:dyDescent="0.2">
      <c r="A40" s="26"/>
      <c r="B40" s="24"/>
      <c r="D40" s="25"/>
      <c r="F40" s="6"/>
      <c r="G40" s="10"/>
      <c r="H40" s="10"/>
      <c r="J40" s="6"/>
      <c r="K40" s="2"/>
      <c r="L40" s="35"/>
      <c r="M40" s="36"/>
      <c r="N40" s="2"/>
      <c r="O40" s="4"/>
      <c r="P40" s="6"/>
      <c r="Q40" s="4"/>
      <c r="R40" s="10"/>
      <c r="S40" s="4"/>
      <c r="T40" s="36"/>
      <c r="U40" s="8"/>
      <c r="V40" s="36"/>
      <c r="W40" s="7"/>
      <c r="X40" s="5"/>
      <c r="Y40" s="5"/>
      <c r="Z40" s="8"/>
      <c r="AA40" s="4"/>
      <c r="AB40" s="5"/>
      <c r="AC40" s="4"/>
      <c r="AD40" s="4"/>
      <c r="AE40" s="10"/>
      <c r="AF40" s="6"/>
      <c r="AH40" s="10"/>
      <c r="AI40" s="10"/>
    </row>
    <row r="41" spans="1:41" x14ac:dyDescent="0.2">
      <c r="AM41" s="1">
        <f>(1-AM45)*0.05/(1-0.05)/AM45</f>
        <v>4.0376850605652248E-3</v>
      </c>
      <c r="AN41" s="1">
        <f>B14/0.4/N26</f>
        <v>2.491396674915225</v>
      </c>
      <c r="AO41" s="1">
        <f>AM41^AN41</f>
        <v>1.0862413303371065E-6</v>
      </c>
    </row>
    <row r="43" spans="1:41" ht="19" x14ac:dyDescent="0.25">
      <c r="A43" s="52" t="s">
        <v>49</v>
      </c>
    </row>
    <row r="44" spans="1:41" ht="16" customHeight="1" x14ac:dyDescent="0.2">
      <c r="B44" s="58" t="s">
        <v>141</v>
      </c>
    </row>
    <row r="45" spans="1:41" x14ac:dyDescent="0.2">
      <c r="B45" s="1">
        <f>F10</f>
        <v>0.05</v>
      </c>
      <c r="C45" s="1">
        <f t="shared" ref="C45:AO45" si="21">B45+$U$12</f>
        <v>7.375000000000001E-2</v>
      </c>
      <c r="D45" s="1">
        <f t="shared" si="21"/>
        <v>9.7500000000000003E-2</v>
      </c>
      <c r="E45" s="1">
        <f t="shared" si="21"/>
        <v>0.12125</v>
      </c>
      <c r="F45" s="1">
        <f t="shared" si="21"/>
        <v>0.14499999999999999</v>
      </c>
      <c r="G45" s="1">
        <f t="shared" si="21"/>
        <v>0.16874999999999998</v>
      </c>
      <c r="H45" s="1">
        <f t="shared" si="21"/>
        <v>0.19249999999999998</v>
      </c>
      <c r="I45" s="1">
        <f t="shared" si="21"/>
        <v>0.21624999999999997</v>
      </c>
      <c r="J45" s="1">
        <f t="shared" si="21"/>
        <v>0.23999999999999996</v>
      </c>
      <c r="K45" s="1">
        <f t="shared" si="21"/>
        <v>0.26374999999999998</v>
      </c>
      <c r="L45" s="1">
        <f t="shared" si="21"/>
        <v>0.28749999999999998</v>
      </c>
      <c r="M45" s="1">
        <f t="shared" si="21"/>
        <v>0.31124999999999997</v>
      </c>
      <c r="N45" s="1">
        <f t="shared" si="21"/>
        <v>0.33499999999999996</v>
      </c>
      <c r="O45" s="1">
        <f t="shared" si="21"/>
        <v>0.35874999999999996</v>
      </c>
      <c r="P45" s="1">
        <f t="shared" si="21"/>
        <v>0.38249999999999995</v>
      </c>
      <c r="Q45" s="1">
        <f t="shared" si="21"/>
        <v>0.40624999999999994</v>
      </c>
      <c r="R45" s="1">
        <f t="shared" si="21"/>
        <v>0.42999999999999994</v>
      </c>
      <c r="S45" s="1">
        <f t="shared" si="21"/>
        <v>0.45374999999999993</v>
      </c>
      <c r="T45" s="1">
        <f t="shared" si="21"/>
        <v>0.47749999999999992</v>
      </c>
      <c r="U45" s="1">
        <f t="shared" si="21"/>
        <v>0.50124999999999997</v>
      </c>
      <c r="V45" s="1">
        <f t="shared" si="21"/>
        <v>0.52500000000000002</v>
      </c>
      <c r="W45" s="1">
        <f t="shared" si="21"/>
        <v>0.54875000000000007</v>
      </c>
      <c r="X45" s="1">
        <f t="shared" si="21"/>
        <v>0.57250000000000012</v>
      </c>
      <c r="Y45" s="1">
        <f t="shared" si="21"/>
        <v>0.59625000000000017</v>
      </c>
      <c r="Z45" s="1">
        <f t="shared" si="21"/>
        <v>0.62000000000000022</v>
      </c>
      <c r="AA45" s="1">
        <f t="shared" si="21"/>
        <v>0.64375000000000027</v>
      </c>
      <c r="AB45" s="1">
        <f t="shared" si="21"/>
        <v>0.66750000000000032</v>
      </c>
      <c r="AC45" s="1">
        <f t="shared" si="21"/>
        <v>0.69125000000000036</v>
      </c>
      <c r="AD45" s="1">
        <f t="shared" si="21"/>
        <v>0.71500000000000041</v>
      </c>
      <c r="AE45" s="1">
        <f t="shared" si="21"/>
        <v>0.73875000000000046</v>
      </c>
      <c r="AF45" s="1">
        <f t="shared" si="21"/>
        <v>0.76250000000000051</v>
      </c>
      <c r="AG45" s="1">
        <f t="shared" si="21"/>
        <v>0.78625000000000056</v>
      </c>
      <c r="AH45" s="1">
        <f t="shared" si="21"/>
        <v>0.81000000000000061</v>
      </c>
      <c r="AI45" s="1">
        <f t="shared" si="21"/>
        <v>0.83375000000000066</v>
      </c>
      <c r="AJ45" s="1">
        <f t="shared" si="21"/>
        <v>0.85750000000000071</v>
      </c>
      <c r="AK45" s="1">
        <f t="shared" si="21"/>
        <v>0.88125000000000075</v>
      </c>
      <c r="AL45" s="1">
        <f t="shared" si="21"/>
        <v>0.9050000000000008</v>
      </c>
      <c r="AM45" s="1">
        <f t="shared" si="21"/>
        <v>0.92875000000000085</v>
      </c>
      <c r="AN45" s="1">
        <f t="shared" si="21"/>
        <v>0.9525000000000009</v>
      </c>
      <c r="AO45" s="1">
        <f t="shared" si="21"/>
        <v>0.97625000000000095</v>
      </c>
    </row>
    <row r="46" spans="1:41" x14ac:dyDescent="0.2">
      <c r="A46" s="54" t="s">
        <v>130</v>
      </c>
      <c r="B46" s="54" t="s">
        <v>142</v>
      </c>
    </row>
    <row r="47" spans="1:41" x14ac:dyDescent="0.2">
      <c r="A47" s="2">
        <f t="shared" ref="A47:A66" si="22">N21</f>
        <v>5.4030310811624772E-2</v>
      </c>
      <c r="B47" s="4">
        <f t="shared" ref="B47:K56" si="23">((1-B$45)*$F$10/(1-$F$10)/B$45)^($B$14/0.4/$A47)</f>
        <v>1</v>
      </c>
      <c r="C47" s="4">
        <f t="shared" si="23"/>
        <v>0.13931352047826501</v>
      </c>
      <c r="D47" s="4">
        <f t="shared" si="23"/>
        <v>3.258515019678878E-2</v>
      </c>
      <c r="E47" s="4">
        <f t="shared" si="23"/>
        <v>1.0164771442697236E-2</v>
      </c>
      <c r="F47" s="4">
        <f t="shared" si="23"/>
        <v>3.8068150077624117E-3</v>
      </c>
      <c r="G47" s="4">
        <f t="shared" si="23"/>
        <v>1.6168213688119483E-3</v>
      </c>
      <c r="H47" s="4">
        <f t="shared" si="23"/>
        <v>7.523900232967813E-4</v>
      </c>
      <c r="I47" s="4">
        <f t="shared" si="23"/>
        <v>3.7510399514969394E-4</v>
      </c>
      <c r="J47" s="4">
        <f t="shared" si="23"/>
        <v>1.972665879648128E-4</v>
      </c>
      <c r="K47" s="4">
        <f t="shared" si="23"/>
        <v>1.0821414699121436E-4</v>
      </c>
      <c r="L47" s="4">
        <f t="shared" ref="L47:U56" si="24">((1-L$45)*$F$10/(1-$F$10)/L$45)^($B$14/0.4/$A47)</f>
        <v>6.1404000878178562E-5</v>
      </c>
      <c r="M47" s="4">
        <f t="shared" si="24"/>
        <v>3.5807148326993257E-5</v>
      </c>
      <c r="N47" s="4">
        <f t="shared" si="24"/>
        <v>2.1348009361646105E-5</v>
      </c>
      <c r="O47" s="4">
        <f t="shared" si="24"/>
        <v>1.2957614913112599E-5</v>
      </c>
      <c r="P47" s="4">
        <f t="shared" si="24"/>
        <v>7.978784340615821E-6</v>
      </c>
      <c r="Q47" s="4">
        <f t="shared" si="24"/>
        <v>4.9690650506591048E-6</v>
      </c>
      <c r="R47" s="4">
        <f t="shared" si="24"/>
        <v>3.1216253908258803E-6</v>
      </c>
      <c r="S47" s="4">
        <f t="shared" si="24"/>
        <v>1.9733837264754325E-6</v>
      </c>
      <c r="T47" s="4">
        <f t="shared" si="24"/>
        <v>1.2525714215375196E-6</v>
      </c>
      <c r="U47" s="4">
        <f t="shared" si="24"/>
        <v>7.9659680065215254E-7</v>
      </c>
      <c r="V47" s="4">
        <f t="shared" ref="V47:AE56" si="25">((1-V$45)*$F$10/(1-$F$10)/V$45)^($B$14/0.4/$A47)</f>
        <v>5.0655645841908381E-7</v>
      </c>
      <c r="W47" s="4">
        <f t="shared" si="25"/>
        <v>3.214232255530362E-7</v>
      </c>
      <c r="X47" s="4">
        <f t="shared" si="25"/>
        <v>2.0308027180531487E-7</v>
      </c>
      <c r="Y47" s="4">
        <f t="shared" si="25"/>
        <v>1.2747587499780454E-7</v>
      </c>
      <c r="Z47" s="4">
        <f t="shared" si="25"/>
        <v>7.930568092254248E-8</v>
      </c>
      <c r="AA47" s="4">
        <f t="shared" si="25"/>
        <v>4.8766770142699523E-8</v>
      </c>
      <c r="AB47" s="4">
        <f t="shared" si="25"/>
        <v>2.9549456129874955E-8</v>
      </c>
      <c r="AC47" s="4">
        <f t="shared" si="25"/>
        <v>1.7579946136525179E-8</v>
      </c>
      <c r="AD47" s="4">
        <f t="shared" si="25"/>
        <v>1.0224835124194627E-8</v>
      </c>
      <c r="AE47" s="4">
        <f t="shared" si="25"/>
        <v>5.7832001808719443E-9</v>
      </c>
      <c r="AF47" s="4">
        <f t="shared" ref="AF47:AO56" si="26">((1-AF$45)*$F$10/(1-$F$10)/AF$45)^($B$14/0.4/$A47)</f>
        <v>3.1597911183163966E-9</v>
      </c>
      <c r="AG47" s="4">
        <f t="shared" si="26"/>
        <v>1.6533842663561448E-9</v>
      </c>
      <c r="AH47" s="4">
        <f t="shared" si="26"/>
        <v>8.1901130648166129E-10</v>
      </c>
      <c r="AI47" s="4">
        <f t="shared" si="26"/>
        <v>3.7793793205672015E-10</v>
      </c>
      <c r="AJ47" s="4">
        <f t="shared" si="26"/>
        <v>1.5870611962200263E-10</v>
      </c>
      <c r="AK47" s="4">
        <f t="shared" si="26"/>
        <v>5.8492851095977283E-11</v>
      </c>
      <c r="AL47" s="4">
        <f t="shared" si="26"/>
        <v>1.7811636529835318E-11</v>
      </c>
      <c r="AM47" s="4">
        <f t="shared" si="26"/>
        <v>4.002014005153904E-12</v>
      </c>
      <c r="AN47" s="4">
        <f t="shared" si="26"/>
        <v>5.1482279846453854E-13</v>
      </c>
      <c r="AO47" s="4">
        <f t="shared" si="26"/>
        <v>1.6883503085548857E-14</v>
      </c>
    </row>
    <row r="48" spans="1:41" x14ac:dyDescent="0.2">
      <c r="A48" s="2">
        <f t="shared" si="22"/>
        <v>8.2033922978797094E-2</v>
      </c>
      <c r="B48" s="4">
        <f t="shared" si="23"/>
        <v>1</v>
      </c>
      <c r="C48" s="4">
        <f t="shared" si="23"/>
        <v>0.27302666881766441</v>
      </c>
      <c r="D48" s="4">
        <f t="shared" si="23"/>
        <v>0.10486356008443966</v>
      </c>
      <c r="E48" s="4">
        <f t="shared" si="23"/>
        <v>4.868635020744895E-2</v>
      </c>
      <c r="F48" s="4">
        <f t="shared" si="23"/>
        <v>2.5496250239165925E-2</v>
      </c>
      <c r="G48" s="4">
        <f t="shared" si="23"/>
        <v>1.4505429592822628E-2</v>
      </c>
      <c r="H48" s="4">
        <f t="shared" si="23"/>
        <v>8.7643545802666995E-3</v>
      </c>
      <c r="I48" s="4">
        <f t="shared" si="23"/>
        <v>5.541414795139846E-3</v>
      </c>
      <c r="J48" s="4">
        <f t="shared" si="23"/>
        <v>3.6290854362773569E-3</v>
      </c>
      <c r="K48" s="4">
        <f t="shared" si="23"/>
        <v>2.4436871340366008E-3</v>
      </c>
      <c r="L48" s="4">
        <f t="shared" si="24"/>
        <v>1.6825351763808949E-3</v>
      </c>
      <c r="M48" s="4">
        <f t="shared" si="24"/>
        <v>1.179490337405849E-3</v>
      </c>
      <c r="N48" s="4">
        <f t="shared" si="24"/>
        <v>8.3899063127074668E-4</v>
      </c>
      <c r="O48" s="4">
        <f t="shared" si="24"/>
        <v>6.0387079844405605E-4</v>
      </c>
      <c r="P48" s="4">
        <f t="shared" si="24"/>
        <v>4.3877657913442633E-4</v>
      </c>
      <c r="Q48" s="4">
        <f t="shared" si="24"/>
        <v>3.2120882823054412E-4</v>
      </c>
      <c r="R48" s="4">
        <f t="shared" si="24"/>
        <v>2.3649030259683242E-4</v>
      </c>
      <c r="S48" s="4">
        <f t="shared" si="24"/>
        <v>1.7483716308019955E-4</v>
      </c>
      <c r="T48" s="4">
        <f t="shared" si="24"/>
        <v>1.2960253341099401E-4</v>
      </c>
      <c r="U48" s="4">
        <f t="shared" si="24"/>
        <v>9.6194412009568953E-5</v>
      </c>
      <c r="V48" s="4">
        <f t="shared" si="25"/>
        <v>7.1392961874272218E-5</v>
      </c>
      <c r="W48" s="4">
        <f t="shared" si="25"/>
        <v>5.2910504800352289E-5</v>
      </c>
      <c r="X48" s="4">
        <f t="shared" si="25"/>
        <v>3.9102458565721534E-5</v>
      </c>
      <c r="Y48" s="4">
        <f t="shared" si="25"/>
        <v>2.8774126506365478E-5</v>
      </c>
      <c r="Z48" s="4">
        <f t="shared" si="25"/>
        <v>2.1049516260371771E-5</v>
      </c>
      <c r="AA48" s="4">
        <f t="shared" si="25"/>
        <v>1.5280995294392153E-5</v>
      </c>
      <c r="AB48" s="4">
        <f t="shared" si="25"/>
        <v>1.0986256417876726E-5</v>
      </c>
      <c r="AC48" s="4">
        <f t="shared" si="25"/>
        <v>7.8038115742222712E-6</v>
      </c>
      <c r="AD48" s="4">
        <f t="shared" si="25"/>
        <v>5.4612231951117286E-6</v>
      </c>
      <c r="AE48" s="4">
        <f t="shared" si="25"/>
        <v>3.7521994622867814E-6</v>
      </c>
      <c r="AF48" s="4">
        <f t="shared" si="26"/>
        <v>2.5199276248100134E-6</v>
      </c>
      <c r="AG48" s="4">
        <f t="shared" si="26"/>
        <v>1.6448433843156214E-6</v>
      </c>
      <c r="AH48" s="4">
        <f t="shared" si="26"/>
        <v>1.035585581890314E-6</v>
      </c>
      <c r="AI48" s="4">
        <f t="shared" si="26"/>
        <v>6.2225881995901067E-7</v>
      </c>
      <c r="AJ48" s="4">
        <f t="shared" si="26"/>
        <v>3.5138256144466158E-7</v>
      </c>
      <c r="AK48" s="4">
        <f t="shared" si="26"/>
        <v>1.8208261254995787E-7</v>
      </c>
      <c r="AL48" s="4">
        <f t="shared" si="26"/>
        <v>8.320524146595339E-8</v>
      </c>
      <c r="AM48" s="4">
        <f t="shared" si="26"/>
        <v>3.1122605450263137E-8</v>
      </c>
      <c r="AN48" s="4">
        <f t="shared" si="26"/>
        <v>8.0627464478666782E-9</v>
      </c>
      <c r="AO48" s="4">
        <f t="shared" si="26"/>
        <v>8.4906695171476827E-10</v>
      </c>
    </row>
    <row r="49" spans="1:41" x14ac:dyDescent="0.2">
      <c r="A49" s="2">
        <f t="shared" si="22"/>
        <v>9.1944415865399087E-2</v>
      </c>
      <c r="B49" s="4">
        <f t="shared" si="23"/>
        <v>1</v>
      </c>
      <c r="C49" s="4">
        <f t="shared" si="23"/>
        <v>0.31403302725150445</v>
      </c>
      <c r="D49" s="4">
        <f t="shared" si="23"/>
        <v>0.13371785083737317</v>
      </c>
      <c r="E49" s="4">
        <f t="shared" si="23"/>
        <v>6.7435533986153026E-2</v>
      </c>
      <c r="F49" s="4">
        <f t="shared" si="23"/>
        <v>3.78650765764387E-2</v>
      </c>
      <c r="G49" s="4">
        <f t="shared" si="23"/>
        <v>2.2892609459730012E-2</v>
      </c>
      <c r="H49" s="4">
        <f t="shared" si="23"/>
        <v>1.4603931204348466E-2</v>
      </c>
      <c r="I49" s="4">
        <f t="shared" si="23"/>
        <v>9.7013234905442818E-3</v>
      </c>
      <c r="J49" s="4">
        <f t="shared" si="23"/>
        <v>6.6499971515776822E-3</v>
      </c>
      <c r="K49" s="4">
        <f t="shared" si="23"/>
        <v>4.6728582540627346E-3</v>
      </c>
      <c r="L49" s="4">
        <f t="shared" si="24"/>
        <v>3.3494351394472884E-3</v>
      </c>
      <c r="M49" s="4">
        <f t="shared" si="24"/>
        <v>2.4396651173177273E-3</v>
      </c>
      <c r="N49" s="4">
        <f t="shared" si="24"/>
        <v>1.8002747263649373E-3</v>
      </c>
      <c r="O49" s="4">
        <f t="shared" si="24"/>
        <v>1.3425152273125313E-3</v>
      </c>
      <c r="P49" s="4">
        <f t="shared" si="24"/>
        <v>1.0096453998793653E-3</v>
      </c>
      <c r="Q49" s="4">
        <f t="shared" si="24"/>
        <v>7.6438721800722008E-4</v>
      </c>
      <c r="R49" s="4">
        <f t="shared" si="24"/>
        <v>5.8166412545969251E-4</v>
      </c>
      <c r="S49" s="4">
        <f t="shared" si="24"/>
        <v>4.4425493573821293E-4</v>
      </c>
      <c r="T49" s="4">
        <f t="shared" si="24"/>
        <v>3.4011564433832623E-4</v>
      </c>
      <c r="U49" s="4">
        <f t="shared" si="24"/>
        <v>2.6068591878310643E-4</v>
      </c>
      <c r="V49" s="4">
        <f t="shared" si="25"/>
        <v>1.9979336385248921E-4</v>
      </c>
      <c r="W49" s="4">
        <f t="shared" si="25"/>
        <v>1.5292983530167413E-4</v>
      </c>
      <c r="X49" s="4">
        <f t="shared" si="25"/>
        <v>1.1676454910354168E-4</v>
      </c>
      <c r="Y49" s="4">
        <f t="shared" si="25"/>
        <v>8.8810975780232804E-5</v>
      </c>
      <c r="Z49" s="4">
        <f t="shared" si="25"/>
        <v>6.7195454748816494E-5</v>
      </c>
      <c r="AA49" s="4">
        <f t="shared" si="25"/>
        <v>5.0494222124998219E-5</v>
      </c>
      <c r="AB49" s="4">
        <f t="shared" si="25"/>
        <v>3.761715818193143E-5</v>
      </c>
      <c r="AC49" s="4">
        <f t="shared" si="25"/>
        <v>2.7723889290923705E-5</v>
      </c>
      <c r="AD49" s="4">
        <f t="shared" si="25"/>
        <v>2.0162586497947523E-5</v>
      </c>
      <c r="AE49" s="4">
        <f t="shared" si="25"/>
        <v>1.4424876032427276E-5</v>
      </c>
      <c r="AF49" s="4">
        <f t="shared" si="26"/>
        <v>1.0112313646145821E-5</v>
      </c>
      <c r="AG49" s="4">
        <f t="shared" si="26"/>
        <v>6.9112432085136137E-6</v>
      </c>
      <c r="AH49" s="4">
        <f t="shared" si="26"/>
        <v>4.5737914513207305E-6</v>
      </c>
      <c r="AI49" s="4">
        <f t="shared" si="26"/>
        <v>2.9033922359563874E-6</v>
      </c>
      <c r="AJ49" s="4">
        <f t="shared" si="26"/>
        <v>1.7436801300310735E-6</v>
      </c>
      <c r="AK49" s="4">
        <f t="shared" si="26"/>
        <v>9.6990632578552818E-7</v>
      </c>
      <c r="AL49" s="4">
        <f t="shared" si="26"/>
        <v>4.8225037472328069E-7</v>
      </c>
      <c r="AM49" s="4">
        <f t="shared" si="26"/>
        <v>2.005539927561649E-7</v>
      </c>
      <c r="AN49" s="4">
        <f t="shared" si="26"/>
        <v>6.0098823882523807E-8</v>
      </c>
      <c r="AO49" s="4">
        <f t="shared" si="26"/>
        <v>8.0666270505741955E-9</v>
      </c>
    </row>
    <row r="50" spans="1:41" x14ac:dyDescent="0.2">
      <c r="A50" s="2">
        <f t="shared" si="22"/>
        <v>9.6462480100896211E-2</v>
      </c>
      <c r="B50" s="4">
        <f t="shared" si="23"/>
        <v>1</v>
      </c>
      <c r="C50" s="4">
        <f t="shared" si="23"/>
        <v>0.33153986682021325</v>
      </c>
      <c r="D50" s="4">
        <f t="shared" si="23"/>
        <v>0.14693204324522388</v>
      </c>
      <c r="E50" s="4">
        <f t="shared" si="23"/>
        <v>7.6513973443565947E-2</v>
      </c>
      <c r="F50" s="4">
        <f t="shared" si="23"/>
        <v>4.4139826264381302E-2</v>
      </c>
      <c r="G50" s="4">
        <f t="shared" si="23"/>
        <v>2.7322668870908368E-2</v>
      </c>
      <c r="H50" s="4">
        <f t="shared" si="23"/>
        <v>1.7800880262026197E-2</v>
      </c>
      <c r="I50" s="4">
        <f t="shared" si="23"/>
        <v>1.2053768573818284E-2</v>
      </c>
      <c r="J50" s="4">
        <f t="shared" si="23"/>
        <v>8.409983096846178E-3</v>
      </c>
      <c r="K50" s="4">
        <f t="shared" si="23"/>
        <v>6.0080508570018974E-3</v>
      </c>
      <c r="L50" s="4">
        <f t="shared" si="24"/>
        <v>4.3741713196316688E-3</v>
      </c>
      <c r="M50" s="4">
        <f t="shared" si="24"/>
        <v>3.2337110753677262E-3</v>
      </c>
      <c r="N50" s="4">
        <f t="shared" si="24"/>
        <v>2.4204266975183819E-3</v>
      </c>
      <c r="O50" s="4">
        <f t="shared" si="24"/>
        <v>1.8299549060241391E-3</v>
      </c>
      <c r="P50" s="4">
        <f t="shared" si="24"/>
        <v>1.3947173359702459E-3</v>
      </c>
      <c r="Q50" s="4">
        <f t="shared" si="24"/>
        <v>1.0697722186267745E-3</v>
      </c>
      <c r="R50" s="4">
        <f t="shared" si="24"/>
        <v>8.2453109023178253E-4</v>
      </c>
      <c r="S50" s="4">
        <f t="shared" si="24"/>
        <v>6.3774767450203856E-4</v>
      </c>
      <c r="T50" s="4">
        <f t="shared" si="24"/>
        <v>4.9439793591879563E-4</v>
      </c>
      <c r="U50" s="4">
        <f t="shared" si="24"/>
        <v>3.8368760628677151E-4</v>
      </c>
      <c r="V50" s="4">
        <f t="shared" si="25"/>
        <v>2.9775063883934319E-4</v>
      </c>
      <c r="W50" s="4">
        <f t="shared" si="25"/>
        <v>2.3078159901185748E-4</v>
      </c>
      <c r="X50" s="4">
        <f t="shared" si="25"/>
        <v>1.784466677265588E-4</v>
      </c>
      <c r="Y50" s="4">
        <f t="shared" si="25"/>
        <v>1.374771290113201E-4</v>
      </c>
      <c r="Z50" s="4">
        <f t="shared" si="25"/>
        <v>1.0538456011915473E-4</v>
      </c>
      <c r="AA50" s="4">
        <f t="shared" si="25"/>
        <v>8.0258535261393005E-5</v>
      </c>
      <c r="AB50" s="4">
        <f t="shared" si="25"/>
        <v>6.0621122231528245E-5</v>
      </c>
      <c r="AC50" s="4">
        <f t="shared" si="25"/>
        <v>4.5321012926187974E-5</v>
      </c>
      <c r="AD50" s="4">
        <f t="shared" si="25"/>
        <v>3.3455667273168981E-5</v>
      </c>
      <c r="AE50" s="4">
        <f t="shared" si="25"/>
        <v>2.4313490897742173E-5</v>
      </c>
      <c r="AF50" s="4">
        <f t="shared" si="26"/>
        <v>1.7330495934970037E-5</v>
      </c>
      <c r="AG50" s="4">
        <f t="shared" si="26"/>
        <v>1.2057537320903398E-5</v>
      </c>
      <c r="AH50" s="4">
        <f t="shared" si="26"/>
        <v>8.1353421111087267E-6</v>
      </c>
      <c r="AI50" s="4">
        <f t="shared" si="26"/>
        <v>5.2753287212328125E-6</v>
      </c>
      <c r="AJ50" s="4">
        <f t="shared" si="26"/>
        <v>3.2447577997635161E-6</v>
      </c>
      <c r="AK50" s="4">
        <f t="shared" si="26"/>
        <v>1.8551392378626086E-6</v>
      </c>
      <c r="AL50" s="4">
        <f t="shared" si="26"/>
        <v>9.5308685439952955E-7</v>
      </c>
      <c r="AM50" s="4">
        <f t="shared" si="26"/>
        <v>4.1298877675484194E-7</v>
      </c>
      <c r="AN50" s="4">
        <f t="shared" si="26"/>
        <v>1.3094413449600724E-7</v>
      </c>
      <c r="AO50" s="4">
        <f t="shared" si="26"/>
        <v>1.9309122144008138E-8</v>
      </c>
    </row>
    <row r="51" spans="1:41" x14ac:dyDescent="0.2">
      <c r="A51" s="2">
        <f t="shared" si="22"/>
        <v>0.10010376906299254</v>
      </c>
      <c r="B51" s="4">
        <f t="shared" si="23"/>
        <v>1</v>
      </c>
      <c r="C51" s="4">
        <f t="shared" si="23"/>
        <v>0.34512493610974476</v>
      </c>
      <c r="D51" s="4">
        <f t="shared" si="23"/>
        <v>0.15754795637531571</v>
      </c>
      <c r="E51" s="4">
        <f t="shared" si="23"/>
        <v>8.4012681380495696E-2</v>
      </c>
      <c r="F51" s="4">
        <f t="shared" si="23"/>
        <v>4.9445309546497999E-2</v>
      </c>
      <c r="G51" s="4">
        <f t="shared" si="23"/>
        <v>3.114546467522088E-2</v>
      </c>
      <c r="H51" s="4">
        <f t="shared" si="23"/>
        <v>2.0610186473336279E-2</v>
      </c>
      <c r="I51" s="4">
        <f t="shared" si="23"/>
        <v>1.4155404386941422E-2</v>
      </c>
      <c r="J51" s="4">
        <f t="shared" si="23"/>
        <v>1.0006472313053754E-2</v>
      </c>
      <c r="K51" s="4">
        <f t="shared" si="23"/>
        <v>7.2365652808615731E-3</v>
      </c>
      <c r="L51" s="4">
        <f t="shared" si="24"/>
        <v>5.3297709191360166E-3</v>
      </c>
      <c r="M51" s="4">
        <f t="shared" si="24"/>
        <v>3.9836960016127318E-3</v>
      </c>
      <c r="N51" s="4">
        <f t="shared" si="24"/>
        <v>3.0133754158069032E-3</v>
      </c>
      <c r="O51" s="4">
        <f t="shared" si="24"/>
        <v>2.3015452168057482E-3</v>
      </c>
      <c r="P51" s="4">
        <f t="shared" si="24"/>
        <v>1.7715602345724365E-3</v>
      </c>
      <c r="Q51" s="4">
        <f t="shared" si="24"/>
        <v>1.3719910235788278E-3</v>
      </c>
      <c r="R51" s="4">
        <f t="shared" si="24"/>
        <v>1.06753088252535E-3</v>
      </c>
      <c r="S51" s="4">
        <f t="shared" si="24"/>
        <v>8.3345132043087761E-4</v>
      </c>
      <c r="T51" s="4">
        <f t="shared" si="24"/>
        <v>6.5212385192059245E-4</v>
      </c>
      <c r="U51" s="4">
        <f t="shared" si="24"/>
        <v>5.1078257093135947E-4</v>
      </c>
      <c r="V51" s="4">
        <f t="shared" si="25"/>
        <v>4.0005234073275036E-4</v>
      </c>
      <c r="W51" s="4">
        <f t="shared" si="25"/>
        <v>3.1296102611963949E-4</v>
      </c>
      <c r="X51" s="4">
        <f t="shared" si="25"/>
        <v>2.4426450392467841E-4</v>
      </c>
      <c r="Y51" s="4">
        <f t="shared" si="25"/>
        <v>1.8997780928066063E-4</v>
      </c>
      <c r="Z51" s="4">
        <f t="shared" si="25"/>
        <v>1.4704458798920071E-4</v>
      </c>
      <c r="AA51" s="4">
        <f t="shared" si="25"/>
        <v>1.1310087077572226E-4</v>
      </c>
      <c r="AB51" s="4">
        <f t="shared" si="25"/>
        <v>8.6304140139360056E-5</v>
      </c>
      <c r="AC51" s="4">
        <f t="shared" si="25"/>
        <v>6.5208218110980696E-5</v>
      </c>
      <c r="AD51" s="4">
        <f t="shared" si="25"/>
        <v>4.8670718015798483E-5</v>
      </c>
      <c r="AE51" s="4">
        <f t="shared" si="25"/>
        <v>3.5783909312239823E-5</v>
      </c>
      <c r="AF51" s="4">
        <f t="shared" si="26"/>
        <v>2.5822597394833333E-5</v>
      </c>
      <c r="AG51" s="4">
        <f t="shared" si="26"/>
        <v>1.820449091343592E-5</v>
      </c>
      <c r="AH51" s="4">
        <f t="shared" si="26"/>
        <v>1.2459816046531165E-5</v>
      </c>
      <c r="AI51" s="4">
        <f t="shared" si="26"/>
        <v>8.2078319821089926E-6</v>
      </c>
      <c r="AJ51" s="4">
        <f t="shared" si="26"/>
        <v>5.1385290601581105E-6</v>
      </c>
      <c r="AK51" s="4">
        <f t="shared" si="26"/>
        <v>2.9982313298665507E-6</v>
      </c>
      <c r="AL51" s="4">
        <f t="shared" si="26"/>
        <v>1.5781286323851589E-6</v>
      </c>
      <c r="AM51" s="4">
        <f t="shared" si="26"/>
        <v>7.0495178038556063E-7</v>
      </c>
      <c r="AN51" s="4">
        <f t="shared" si="26"/>
        <v>2.3305210604369271E-7</v>
      </c>
      <c r="AO51" s="4">
        <f t="shared" si="26"/>
        <v>3.6844190961244967E-8</v>
      </c>
    </row>
    <row r="52" spans="1:41" x14ac:dyDescent="0.2">
      <c r="A52" s="2">
        <f t="shared" si="22"/>
        <v>0.1032553356878641</v>
      </c>
      <c r="B52" s="4">
        <f t="shared" si="23"/>
        <v>1</v>
      </c>
      <c r="C52" s="4">
        <f t="shared" si="23"/>
        <v>0.35651537013475471</v>
      </c>
      <c r="D52" s="4">
        <f t="shared" si="23"/>
        <v>0.16668994294182943</v>
      </c>
      <c r="E52" s="4">
        <f t="shared" si="23"/>
        <v>9.060998705729667E-2</v>
      </c>
      <c r="F52" s="4">
        <f t="shared" si="23"/>
        <v>5.4197980668641274E-2</v>
      </c>
      <c r="G52" s="4">
        <f t="shared" si="23"/>
        <v>3.4624182184077076E-2</v>
      </c>
      <c r="H52" s="4">
        <f t="shared" si="23"/>
        <v>2.3202759120396748E-2</v>
      </c>
      <c r="I52" s="4">
        <f t="shared" si="23"/>
        <v>1.6119811573725544E-2</v>
      </c>
      <c r="J52" s="4">
        <f t="shared" si="23"/>
        <v>1.1516395262960709E-2</v>
      </c>
      <c r="K52" s="4">
        <f t="shared" si="23"/>
        <v>8.4113166851354244E-3</v>
      </c>
      <c r="L52" s="4">
        <f t="shared" si="24"/>
        <v>6.2530817248923438E-3</v>
      </c>
      <c r="M52" s="4">
        <f t="shared" si="24"/>
        <v>4.7155290381902326E-3</v>
      </c>
      <c r="N52" s="4">
        <f t="shared" si="24"/>
        <v>3.59747475733658E-3</v>
      </c>
      <c r="O52" s="4">
        <f t="shared" si="24"/>
        <v>2.7703595519479969E-3</v>
      </c>
      <c r="P52" s="4">
        <f t="shared" si="24"/>
        <v>2.1495215204911417E-3</v>
      </c>
      <c r="Q52" s="4">
        <f t="shared" si="24"/>
        <v>1.6777422293851726E-3</v>
      </c>
      <c r="R52" s="4">
        <f t="shared" si="24"/>
        <v>1.3154684264884804E-3</v>
      </c>
      <c r="S52" s="4">
        <f t="shared" si="24"/>
        <v>1.0348117445663732E-3</v>
      </c>
      <c r="T52" s="4">
        <f t="shared" si="24"/>
        <v>8.1576172857454306E-4</v>
      </c>
      <c r="U52" s="4">
        <f t="shared" si="24"/>
        <v>6.4373558947864676E-4</v>
      </c>
      <c r="V52" s="4">
        <f t="shared" si="25"/>
        <v>5.0795734621791953E-4</v>
      </c>
      <c r="W52" s="4">
        <f t="shared" si="25"/>
        <v>4.0036412034231056E-4</v>
      </c>
      <c r="X52" s="4">
        <f t="shared" si="25"/>
        <v>3.1485481629044316E-4</v>
      </c>
      <c r="Y52" s="4">
        <f t="shared" si="25"/>
        <v>2.4676557201374103E-4</v>
      </c>
      <c r="Z52" s="4">
        <f t="shared" si="25"/>
        <v>1.9249809450596773E-4</v>
      </c>
      <c r="AA52" s="4">
        <f t="shared" si="25"/>
        <v>1.4925274895536284E-4</v>
      </c>
      <c r="AB52" s="4">
        <f t="shared" si="25"/>
        <v>1.148344933574985E-4</v>
      </c>
      <c r="AC52" s="4">
        <f t="shared" si="25"/>
        <v>8.751016277138904E-5</v>
      </c>
      <c r="AD52" s="4">
        <f t="shared" si="25"/>
        <v>6.5902406020902196E-5</v>
      </c>
      <c r="AE52" s="4">
        <f t="shared" si="25"/>
        <v>4.8910087410637265E-5</v>
      </c>
      <c r="AF52" s="4">
        <f t="shared" si="26"/>
        <v>3.5648001335451079E-5</v>
      </c>
      <c r="AG52" s="4">
        <f t="shared" si="26"/>
        <v>2.5400818002302488E-5</v>
      </c>
      <c r="AH52" s="4">
        <f t="shared" si="26"/>
        <v>1.758760769718938E-5</v>
      </c>
      <c r="AI52" s="4">
        <f t="shared" si="26"/>
        <v>1.1734287773246476E-5</v>
      </c>
      <c r="AJ52" s="4">
        <f t="shared" si="26"/>
        <v>7.452036389047376E-6</v>
      </c>
      <c r="AK52" s="4">
        <f t="shared" si="26"/>
        <v>4.4202074179309161E-6</v>
      </c>
      <c r="AL52" s="4">
        <f t="shared" si="26"/>
        <v>2.3726140920213463E-6</v>
      </c>
      <c r="AM52" s="4">
        <f t="shared" si="26"/>
        <v>1.0862413303371065E-6</v>
      </c>
      <c r="AN52" s="4">
        <f t="shared" si="26"/>
        <v>3.7144293080530481E-7</v>
      </c>
      <c r="AO52" s="4">
        <f t="shared" si="26"/>
        <v>6.2123917244983764E-8</v>
      </c>
    </row>
    <row r="53" spans="1:41" x14ac:dyDescent="0.2">
      <c r="A53" s="2">
        <f t="shared" si="22"/>
        <v>0.10607654542558198</v>
      </c>
      <c r="B53" s="4">
        <f t="shared" si="23"/>
        <v>1</v>
      </c>
      <c r="C53" s="4">
        <f t="shared" si="23"/>
        <v>0.36643012934234459</v>
      </c>
      <c r="D53" s="4">
        <f t="shared" si="23"/>
        <v>0.174824977266482</v>
      </c>
      <c r="E53" s="4">
        <f t="shared" si="23"/>
        <v>9.658529116313147E-2</v>
      </c>
      <c r="F53" s="4">
        <f t="shared" si="23"/>
        <v>5.8567146699954553E-2</v>
      </c>
      <c r="G53" s="4">
        <f t="shared" si="23"/>
        <v>3.7863970926938356E-2</v>
      </c>
      <c r="H53" s="4">
        <f t="shared" si="23"/>
        <v>2.5645413598337819E-2</v>
      </c>
      <c r="I53" s="4">
        <f t="shared" si="23"/>
        <v>1.7990240971534927E-2</v>
      </c>
      <c r="J53" s="4">
        <f t="shared" si="23"/>
        <v>1.2968141756404306E-2</v>
      </c>
      <c r="K53" s="4">
        <f t="shared" si="23"/>
        <v>9.5511191190830128E-3</v>
      </c>
      <c r="L53" s="4">
        <f t="shared" si="24"/>
        <v>7.1566395314873405E-3</v>
      </c>
      <c r="M53" s="4">
        <f t="shared" si="24"/>
        <v>5.4375737851043637E-3</v>
      </c>
      <c r="N53" s="4">
        <f t="shared" si="24"/>
        <v>4.1782881904126557E-3</v>
      </c>
      <c r="O53" s="4">
        <f t="shared" si="24"/>
        <v>3.2400700287932788E-3</v>
      </c>
      <c r="P53" s="4">
        <f t="shared" si="24"/>
        <v>2.5309920625150363E-3</v>
      </c>
      <c r="Q53" s="4">
        <f t="shared" si="24"/>
        <v>1.9885494244108212E-3</v>
      </c>
      <c r="R53" s="4">
        <f t="shared" si="24"/>
        <v>1.5692831427582227E-3</v>
      </c>
      <c r="S53" s="4">
        <f t="shared" si="24"/>
        <v>1.2423788188334777E-3</v>
      </c>
      <c r="T53" s="4">
        <f t="shared" si="24"/>
        <v>9.8560597631417997E-4</v>
      </c>
      <c r="U53" s="4">
        <f t="shared" si="24"/>
        <v>7.8267790313859751E-4</v>
      </c>
      <c r="V53" s="4">
        <f t="shared" si="25"/>
        <v>6.2149694767793572E-4</v>
      </c>
      <c r="W53" s="4">
        <f t="shared" si="25"/>
        <v>4.9296511455940595E-4</v>
      </c>
      <c r="X53" s="4">
        <f t="shared" si="25"/>
        <v>3.9016340276473314E-4</v>
      </c>
      <c r="Y53" s="4">
        <f t="shared" si="25"/>
        <v>3.0777638728787338E-4</v>
      </c>
      <c r="Z53" s="4">
        <f t="shared" si="25"/>
        <v>2.4168280741690426E-4</v>
      </c>
      <c r="AA53" s="4">
        <f t="shared" si="25"/>
        <v>1.8866034564727908E-4</v>
      </c>
      <c r="AB53" s="4">
        <f t="shared" si="25"/>
        <v>1.4617011799098956E-4</v>
      </c>
      <c r="AC53" s="4">
        <f t="shared" si="25"/>
        <v>1.1219756329575002E-4</v>
      </c>
      <c r="AD53" s="4">
        <f t="shared" si="25"/>
        <v>8.5133735719621943E-5</v>
      </c>
      <c r="AE53" s="4">
        <f t="shared" si="25"/>
        <v>6.3685874136547568E-5</v>
      </c>
      <c r="AF53" s="4">
        <f t="shared" si="26"/>
        <v>4.6809410419107051E-5</v>
      </c>
      <c r="AG53" s="4">
        <f t="shared" si="26"/>
        <v>3.365582833385265E-5</v>
      </c>
      <c r="AH53" s="4">
        <f t="shared" si="26"/>
        <v>2.3532342358058076E-5</v>
      </c>
      <c r="AI53" s="4">
        <f t="shared" si="26"/>
        <v>1.5870454614140152E-5</v>
      </c>
      <c r="AJ53" s="4">
        <f t="shared" si="26"/>
        <v>1.0201213621210079E-5</v>
      </c>
      <c r="AK53" s="4">
        <f t="shared" si="26"/>
        <v>6.1355337891314151E-6</v>
      </c>
      <c r="AL53" s="4">
        <f t="shared" si="26"/>
        <v>3.3482930082193034E-6</v>
      </c>
      <c r="AM53" s="4">
        <f t="shared" si="26"/>
        <v>1.5651166466977962E-6</v>
      </c>
      <c r="AN53" s="4">
        <f t="shared" si="26"/>
        <v>5.5068991358516722E-7</v>
      </c>
      <c r="AO53" s="4">
        <f t="shared" si="26"/>
        <v>9.658933595735518E-8</v>
      </c>
    </row>
    <row r="54" spans="1:41" x14ac:dyDescent="0.2">
      <c r="A54" s="2">
        <f t="shared" si="22"/>
        <v>0.10865343289654482</v>
      </c>
      <c r="B54" s="4">
        <f t="shared" si="23"/>
        <v>1</v>
      </c>
      <c r="C54" s="4">
        <f t="shared" si="23"/>
        <v>0.37525960110700102</v>
      </c>
      <c r="D54" s="4">
        <f t="shared" si="23"/>
        <v>0.182207535109567</v>
      </c>
      <c r="E54" s="4">
        <f t="shared" si="23"/>
        <v>0.10209052322004931</v>
      </c>
      <c r="F54" s="4">
        <f t="shared" si="23"/>
        <v>6.2644232565512284E-2</v>
      </c>
      <c r="G54" s="4">
        <f t="shared" si="23"/>
        <v>4.0920955540343369E-2</v>
      </c>
      <c r="H54" s="4">
        <f t="shared" si="23"/>
        <v>2.7973225789705059E-2</v>
      </c>
      <c r="I54" s="4">
        <f t="shared" si="23"/>
        <v>1.978889434638182E-2</v>
      </c>
      <c r="J54" s="4">
        <f t="shared" si="23"/>
        <v>1.4375859801516908E-2</v>
      </c>
      <c r="K54" s="4">
        <f t="shared" si="23"/>
        <v>1.0664990169394961E-2</v>
      </c>
      <c r="L54" s="4">
        <f t="shared" si="24"/>
        <v>8.0461495088707587E-3</v>
      </c>
      <c r="M54" s="4">
        <f t="shared" si="24"/>
        <v>6.1533780813262202E-3</v>
      </c>
      <c r="N54" s="4">
        <f t="shared" si="24"/>
        <v>4.7579531946296211E-3</v>
      </c>
      <c r="O54" s="4">
        <f t="shared" si="24"/>
        <v>3.7118936472073935E-3</v>
      </c>
      <c r="P54" s="4">
        <f t="shared" si="24"/>
        <v>2.9165930486763484E-3</v>
      </c>
      <c r="Q54" s="4">
        <f t="shared" si="24"/>
        <v>2.3046546627535657E-3</v>
      </c>
      <c r="R54" s="4">
        <f t="shared" si="24"/>
        <v>1.8289830237294461E-3</v>
      </c>
      <c r="S54" s="4">
        <f t="shared" si="24"/>
        <v>1.4560235031030109E-3</v>
      </c>
      <c r="T54" s="4">
        <f t="shared" si="24"/>
        <v>1.1614550154146776E-3</v>
      </c>
      <c r="U54" s="4">
        <f t="shared" si="24"/>
        <v>9.2737769896241535E-4</v>
      </c>
      <c r="V54" s="4">
        <f t="shared" si="25"/>
        <v>7.4043621114299222E-4</v>
      </c>
      <c r="W54" s="4">
        <f t="shared" si="25"/>
        <v>5.905426455298287E-4</v>
      </c>
      <c r="X54" s="4">
        <f t="shared" si="25"/>
        <v>4.6999202988196872E-4</v>
      </c>
      <c r="Y54" s="4">
        <f t="shared" si="25"/>
        <v>3.728398583770298E-4</v>
      </c>
      <c r="Z54" s="4">
        <f t="shared" si="25"/>
        <v>2.9445761245524074E-4</v>
      </c>
      <c r="AA54" s="4">
        <f t="shared" si="25"/>
        <v>2.3121112760108502E-4</v>
      </c>
      <c r="AB54" s="4">
        <f t="shared" si="25"/>
        <v>1.8022499519494125E-4</v>
      </c>
      <c r="AC54" s="4">
        <f t="shared" si="25"/>
        <v>1.3920803267364196E-4</v>
      </c>
      <c r="AD54" s="4">
        <f t="shared" si="25"/>
        <v>1.0632263866193885E-4</v>
      </c>
      <c r="AE54" s="4">
        <f t="shared" si="25"/>
        <v>8.0086045098482042E-5</v>
      </c>
      <c r="AF54" s="4">
        <f t="shared" si="26"/>
        <v>5.9294996306114966E-5</v>
      </c>
      <c r="AG54" s="4">
        <f t="shared" si="26"/>
        <v>4.2967798381245952E-5</v>
      </c>
      <c r="AH54" s="4">
        <f t="shared" si="26"/>
        <v>3.0299357276642366E-5</v>
      </c>
      <c r="AI54" s="4">
        <f t="shared" si="26"/>
        <v>2.0625997351026009E-5</v>
      </c>
      <c r="AJ54" s="4">
        <f t="shared" si="26"/>
        <v>1.3397677926442229E-5</v>
      </c>
      <c r="AK54" s="4">
        <f t="shared" si="26"/>
        <v>8.1558015802563225E-6</v>
      </c>
      <c r="AL54" s="4">
        <f t="shared" si="26"/>
        <v>4.5151886484675849E-6</v>
      </c>
      <c r="AM54" s="4">
        <f t="shared" si="26"/>
        <v>2.1489790846308672E-6</v>
      </c>
      <c r="AN54" s="4">
        <f t="shared" si="26"/>
        <v>7.7508865136148319E-7</v>
      </c>
      <c r="AO54" s="4">
        <f t="shared" si="26"/>
        <v>1.4167807429245865E-7</v>
      </c>
    </row>
    <row r="55" spans="1:41" x14ac:dyDescent="0.2">
      <c r="A55" s="2">
        <f t="shared" si="22"/>
        <v>0.1110392881323021</v>
      </c>
      <c r="B55" s="4">
        <f t="shared" si="23"/>
        <v>1</v>
      </c>
      <c r="C55" s="4">
        <f t="shared" si="23"/>
        <v>0.38324629830357221</v>
      </c>
      <c r="D55" s="4">
        <f t="shared" si="23"/>
        <v>0.18899670743864236</v>
      </c>
      <c r="E55" s="4">
        <f t="shared" si="23"/>
        <v>0.10722077687177951</v>
      </c>
      <c r="F55" s="4">
        <f t="shared" si="23"/>
        <v>6.648627648654569E-2</v>
      </c>
      <c r="G55" s="4">
        <f t="shared" si="23"/>
        <v>4.3829883192869477E-2</v>
      </c>
      <c r="H55" s="4">
        <f t="shared" si="23"/>
        <v>3.020763679668834E-2</v>
      </c>
      <c r="I55" s="4">
        <f t="shared" si="23"/>
        <v>2.152908713261989E-2</v>
      </c>
      <c r="J55" s="4">
        <f t="shared" si="23"/>
        <v>1.5747803544182919E-2</v>
      </c>
      <c r="K55" s="4">
        <f t="shared" si="23"/>
        <v>1.1757983787894817E-2</v>
      </c>
      <c r="L55" s="4">
        <f t="shared" si="24"/>
        <v>8.9246226007579504E-3</v>
      </c>
      <c r="M55" s="4">
        <f t="shared" si="24"/>
        <v>6.8646437114468165E-3</v>
      </c>
      <c r="N55" s="4">
        <f t="shared" si="24"/>
        <v>5.3373351834605891E-3</v>
      </c>
      <c r="O55" s="4">
        <f t="shared" si="24"/>
        <v>4.1861676731715248E-3</v>
      </c>
      <c r="P55" s="4">
        <f t="shared" si="24"/>
        <v>3.3063361098020524E-3</v>
      </c>
      <c r="Q55" s="4">
        <f t="shared" si="24"/>
        <v>2.62587745818067E-3</v>
      </c>
      <c r="R55" s="4">
        <f t="shared" si="24"/>
        <v>2.0942833609525688E-3</v>
      </c>
      <c r="S55" s="4">
        <f t="shared" si="24"/>
        <v>1.6754142788122253E-3</v>
      </c>
      <c r="T55" s="4">
        <f t="shared" si="24"/>
        <v>1.3429674070732339E-3</v>
      </c>
      <c r="U55" s="4">
        <f t="shared" si="24"/>
        <v>1.0775066259711501E-3</v>
      </c>
      <c r="V55" s="4">
        <f t="shared" si="25"/>
        <v>8.6447347721872497E-4</v>
      </c>
      <c r="W55" s="4">
        <f t="shared" si="25"/>
        <v>6.9282899277098525E-4</v>
      </c>
      <c r="X55" s="4">
        <f t="shared" si="25"/>
        <v>5.54109897658641E-4</v>
      </c>
      <c r="Y55" s="4">
        <f t="shared" si="25"/>
        <v>4.4176226419978803E-4</v>
      </c>
      <c r="Z55" s="4">
        <f t="shared" si="25"/>
        <v>3.506642020034902E-4</v>
      </c>
      <c r="AA55" s="4">
        <f t="shared" si="25"/>
        <v>2.7677940509933439E-4</v>
      </c>
      <c r="AB55" s="4">
        <f t="shared" si="25"/>
        <v>2.1690260897088443E-4</v>
      </c>
      <c r="AC55" s="4">
        <f t="shared" si="25"/>
        <v>1.6847046922132604E-4</v>
      </c>
      <c r="AD55" s="4">
        <f t="shared" si="25"/>
        <v>1.2941958252707476E-4</v>
      </c>
      <c r="AE55" s="4">
        <f t="shared" si="25"/>
        <v>9.80788638379775E-5</v>
      </c>
      <c r="AF55" s="4">
        <f t="shared" si="26"/>
        <v>7.3087222591056766E-5</v>
      </c>
      <c r="AG55" s="4">
        <f t="shared" si="26"/>
        <v>5.3330044820964525E-5</v>
      </c>
      <c r="AH55" s="4">
        <f t="shared" si="26"/>
        <v>3.7889771529830078E-5</v>
      </c>
      <c r="AI55" s="4">
        <f t="shared" si="26"/>
        <v>2.6007115387335066E-5</v>
      </c>
      <c r="AJ55" s="4">
        <f t="shared" si="26"/>
        <v>1.7050339594247475E-5</v>
      </c>
      <c r="AK55" s="4">
        <f t="shared" si="26"/>
        <v>1.0490637051582657E-5</v>
      </c>
      <c r="AL55" s="4">
        <f t="shared" si="26"/>
        <v>5.8820493955201268E-6</v>
      </c>
      <c r="AM55" s="4">
        <f t="shared" si="26"/>
        <v>2.8445473690001527E-6</v>
      </c>
      <c r="AN55" s="4">
        <f t="shared" si="26"/>
        <v>1.0486929694310485E-6</v>
      </c>
      <c r="AO55" s="4">
        <f t="shared" si="26"/>
        <v>1.9881894789823312E-7</v>
      </c>
    </row>
    <row r="56" spans="1:41" x14ac:dyDescent="0.2">
      <c r="A56" s="2">
        <f t="shared" si="22"/>
        <v>0.1132700552548038</v>
      </c>
      <c r="B56" s="4">
        <f t="shared" si="23"/>
        <v>1</v>
      </c>
      <c r="C56" s="4">
        <f t="shared" si="23"/>
        <v>0.39055396540926729</v>
      </c>
      <c r="D56" s="4">
        <f t="shared" si="23"/>
        <v>0.19530075345910725</v>
      </c>
      <c r="E56" s="4">
        <f t="shared" si="23"/>
        <v>0.11204097104774728</v>
      </c>
      <c r="F56" s="4">
        <f t="shared" si="23"/>
        <v>7.0132190546815534E-2</v>
      </c>
      <c r="G56" s="4">
        <f t="shared" si="23"/>
        <v>4.6614347382366736E-2</v>
      </c>
      <c r="H56" s="4">
        <f t="shared" si="23"/>
        <v>3.2363068260055833E-2</v>
      </c>
      <c r="I56" s="4">
        <f t="shared" si="23"/>
        <v>2.3219635676472478E-2</v>
      </c>
      <c r="J56" s="4">
        <f t="shared" si="23"/>
        <v>1.7089303471883404E-2</v>
      </c>
      <c r="K56" s="4">
        <f t="shared" si="23"/>
        <v>1.2833235850195752E-2</v>
      </c>
      <c r="L56" s="4">
        <f t="shared" si="24"/>
        <v>9.793804386831563E-3</v>
      </c>
      <c r="M56" s="4">
        <f t="shared" si="24"/>
        <v>7.5722362552670683E-3</v>
      </c>
      <c r="N56" s="4">
        <f t="shared" si="24"/>
        <v>5.9167481518968678E-3</v>
      </c>
      <c r="O56" s="4">
        <f t="shared" si="24"/>
        <v>4.6628680155955211E-3</v>
      </c>
      <c r="P56" s="4">
        <f t="shared" si="24"/>
        <v>3.699998637605732E-3</v>
      </c>
      <c r="Q56" s="4">
        <f t="shared" si="24"/>
        <v>2.951887970336959E-3</v>
      </c>
      <c r="R56" s="4">
        <f t="shared" si="24"/>
        <v>2.3648064468892523E-3</v>
      </c>
      <c r="S56" s="4">
        <f t="shared" si="24"/>
        <v>1.9001636367352195E-3</v>
      </c>
      <c r="T56" s="4">
        <f t="shared" si="24"/>
        <v>1.5297696031627611E-3</v>
      </c>
      <c r="U56" s="4">
        <f t="shared" si="24"/>
        <v>1.2327192255363135E-3</v>
      </c>
      <c r="V56" s="4">
        <f t="shared" si="25"/>
        <v>9.9329901926213096E-4</v>
      </c>
      <c r="W56" s="4">
        <f t="shared" si="25"/>
        <v>7.9955346046513341E-4</v>
      </c>
      <c r="X56" s="4">
        <f t="shared" si="25"/>
        <v>6.4228576404438606E-4</v>
      </c>
      <c r="Y56" s="4">
        <f t="shared" si="25"/>
        <v>5.1435037414219054E-4</v>
      </c>
      <c r="Z56" s="4">
        <f t="shared" si="25"/>
        <v>4.1014474718351534E-4</v>
      </c>
      <c r="AA56" s="4">
        <f t="shared" si="25"/>
        <v>3.2523945620696566E-4</v>
      </c>
      <c r="AB56" s="4">
        <f t="shared" si="25"/>
        <v>2.5610569710490377E-4</v>
      </c>
      <c r="AC56" s="4">
        <f t="shared" si="25"/>
        <v>1.9991229917973617E-4</v>
      </c>
      <c r="AD56" s="4">
        <f t="shared" si="25"/>
        <v>1.5437294224114622E-4</v>
      </c>
      <c r="AE56" s="4">
        <f t="shared" si="25"/>
        <v>1.1763005039143199E-4</v>
      </c>
      <c r="AF56" s="4">
        <f t="shared" si="26"/>
        <v>8.8165756453766834E-5</v>
      </c>
      <c r="AG56" s="4">
        <f t="shared" si="26"/>
        <v>6.4733034896288948E-5</v>
      </c>
      <c r="AH56" s="4">
        <f t="shared" si="26"/>
        <v>4.6301985538448745E-5</v>
      </c>
      <c r="AI56" s="4">
        <f t="shared" si="26"/>
        <v>3.2017575180054751E-5</v>
      </c>
      <c r="AJ56" s="4">
        <f t="shared" si="26"/>
        <v>2.1166078623259369E-5</v>
      </c>
      <c r="AK56" s="4">
        <f t="shared" si="26"/>
        <v>1.3148110994071695E-5</v>
      </c>
      <c r="AL56" s="4">
        <f t="shared" si="26"/>
        <v>7.4565648707271013E-6</v>
      </c>
      <c r="AM56" s="4">
        <f t="shared" si="26"/>
        <v>3.6579447365915113E-6</v>
      </c>
      <c r="AN56" s="4">
        <f t="shared" si="26"/>
        <v>1.3753306283641521E-6</v>
      </c>
      <c r="AO56" s="4">
        <f t="shared" si="26"/>
        <v>2.6942601083484094E-7</v>
      </c>
    </row>
    <row r="57" spans="1:41" x14ac:dyDescent="0.2">
      <c r="A57" s="2">
        <f t="shared" si="22"/>
        <v>0.11537143987667002</v>
      </c>
      <c r="B57" s="4">
        <f t="shared" ref="B57:K66" si="27">((1-B$45)*$F$10/(1-$F$10)/B$45)^($B$14/0.4/$A57)</f>
        <v>1</v>
      </c>
      <c r="C57" s="4">
        <f t="shared" si="27"/>
        <v>0.39729967118720622</v>
      </c>
      <c r="D57" s="4">
        <f t="shared" si="27"/>
        <v>0.20119773822029122</v>
      </c>
      <c r="E57" s="4">
        <f t="shared" si="27"/>
        <v>0.11659813124034092</v>
      </c>
      <c r="F57" s="4">
        <f t="shared" si="27"/>
        <v>7.361019304610493E-2</v>
      </c>
      <c r="G57" s="4">
        <f t="shared" si="27"/>
        <v>4.9291416473760299E-2</v>
      </c>
      <c r="H57" s="4">
        <f t="shared" si="27"/>
        <v>3.4449883947542261E-2</v>
      </c>
      <c r="I57" s="4">
        <f t="shared" si="27"/>
        <v>2.4866796569756804E-2</v>
      </c>
      <c r="J57" s="4">
        <f t="shared" si="27"/>
        <v>1.8404060899638225E-2</v>
      </c>
      <c r="K57" s="4">
        <f t="shared" si="27"/>
        <v>1.3892841847227125E-2</v>
      </c>
      <c r="L57" s="4">
        <f t="shared" ref="L57:U66" si="28">((1-L$45)*$F$10/(1-$F$10)/L$45)^($B$14/0.4/$A57)</f>
        <v>1.0654777790297573E-2</v>
      </c>
      <c r="M57" s="4">
        <f t="shared" si="28"/>
        <v>8.2766032309953066E-3</v>
      </c>
      <c r="N57" s="4">
        <f t="shared" si="28"/>
        <v>6.4962471676421451E-3</v>
      </c>
      <c r="O57" s="4">
        <f t="shared" si="28"/>
        <v>5.1418151670770693E-3</v>
      </c>
      <c r="P57" s="4">
        <f t="shared" si="28"/>
        <v>4.0972695404073115E-3</v>
      </c>
      <c r="Q57" s="4">
        <f t="shared" si="28"/>
        <v>3.2823105919391232E-3</v>
      </c>
      <c r="R57" s="4">
        <f t="shared" si="28"/>
        <v>2.6401554433071249E-3</v>
      </c>
      <c r="S57" s="4">
        <f t="shared" si="28"/>
        <v>2.1298809091092035E-3</v>
      </c>
      <c r="T57" s="4">
        <f t="shared" si="28"/>
        <v>1.7214938422743745E-3</v>
      </c>
      <c r="U57" s="4">
        <f t="shared" si="28"/>
        <v>1.3926802016721235E-3</v>
      </c>
      <c r="V57" s="4">
        <f t="shared" ref="V57:AE66" si="29">((1-V$45)*$F$10/(1-$F$10)/V$45)^($B$14/0.4/$A57)</f>
        <v>1.126614745965711E-3</v>
      </c>
      <c r="W57" s="4">
        <f t="shared" si="29"/>
        <v>9.104566873001309E-4</v>
      </c>
      <c r="X57" s="4">
        <f t="shared" si="29"/>
        <v>7.3429841031983831E-4</v>
      </c>
      <c r="Y57" s="4">
        <f t="shared" si="29"/>
        <v>5.9041917047627037E-4</v>
      </c>
      <c r="Z57" s="4">
        <f t="shared" si="29"/>
        <v>4.7274765912806667E-4</v>
      </c>
      <c r="AA57" s="4">
        <f t="shared" si="29"/>
        <v>3.7646987975614742E-4</v>
      </c>
      <c r="AB57" s="4">
        <f t="shared" si="29"/>
        <v>2.9773958478392472E-4</v>
      </c>
      <c r="AC57" s="4">
        <f t="shared" si="29"/>
        <v>2.3346206283820042E-4</v>
      </c>
      <c r="AD57" s="4">
        <f t="shared" si="29"/>
        <v>1.8113102741764171E-4</v>
      </c>
      <c r="AE57" s="4">
        <f t="shared" si="29"/>
        <v>1.3870438048852542E-4</v>
      </c>
      <c r="AF57" s="4">
        <f t="shared" ref="AF57:AO66" si="30">((1-AF$45)*$F$10/(1-$F$10)/AF$45)^($B$14/0.4/$A57)</f>
        <v>1.0450872968867097E-4</v>
      </c>
      <c r="AG57" s="4">
        <f t="shared" si="30"/>
        <v>7.7165372120216108E-5</v>
      </c>
      <c r="AH57" s="4">
        <f t="shared" si="30"/>
        <v>5.553243664887506E-5</v>
      </c>
      <c r="AI57" s="4">
        <f t="shared" si="30"/>
        <v>3.8659270263576591E-5</v>
      </c>
      <c r="AJ57" s="4">
        <f t="shared" si="30"/>
        <v>2.5750138190957533E-5</v>
      </c>
      <c r="AK57" s="4">
        <f t="shared" si="30"/>
        <v>1.6134992739089456E-5</v>
      </c>
      <c r="AL57" s="4">
        <f t="shared" si="30"/>
        <v>9.2455082052852009E-6</v>
      </c>
      <c r="AM57" s="4">
        <f t="shared" si="30"/>
        <v>4.5947593796019496E-6</v>
      </c>
      <c r="AN57" s="4">
        <f t="shared" si="30"/>
        <v>1.7586144439071487E-6</v>
      </c>
      <c r="AO57" s="4">
        <f t="shared" si="30"/>
        <v>3.5489347965708331E-7</v>
      </c>
    </row>
    <row r="58" spans="1:41" x14ac:dyDescent="0.2">
      <c r="A58" s="2">
        <f t="shared" si="22"/>
        <v>0</v>
      </c>
      <c r="B58" s="4" t="e">
        <f t="shared" si="27"/>
        <v>#DIV/0!</v>
      </c>
      <c r="C58" s="4" t="e">
        <f t="shared" si="27"/>
        <v>#DIV/0!</v>
      </c>
      <c r="D58" s="4" t="e">
        <f t="shared" si="27"/>
        <v>#DIV/0!</v>
      </c>
      <c r="E58" s="4" t="e">
        <f t="shared" si="27"/>
        <v>#DIV/0!</v>
      </c>
      <c r="F58" s="4" t="e">
        <f t="shared" si="27"/>
        <v>#DIV/0!</v>
      </c>
      <c r="G58" s="4" t="e">
        <f t="shared" si="27"/>
        <v>#DIV/0!</v>
      </c>
      <c r="H58" s="4" t="e">
        <f t="shared" si="27"/>
        <v>#DIV/0!</v>
      </c>
      <c r="I58" s="4" t="e">
        <f t="shared" si="27"/>
        <v>#DIV/0!</v>
      </c>
      <c r="J58" s="4" t="e">
        <f t="shared" si="27"/>
        <v>#DIV/0!</v>
      </c>
      <c r="K58" s="4" t="e">
        <f t="shared" si="27"/>
        <v>#DIV/0!</v>
      </c>
      <c r="L58" s="4" t="e">
        <f t="shared" si="28"/>
        <v>#DIV/0!</v>
      </c>
      <c r="M58" s="4" t="e">
        <f t="shared" si="28"/>
        <v>#DIV/0!</v>
      </c>
      <c r="N58" s="4" t="e">
        <f t="shared" si="28"/>
        <v>#DIV/0!</v>
      </c>
      <c r="O58" s="4" t="e">
        <f t="shared" si="28"/>
        <v>#DIV/0!</v>
      </c>
      <c r="P58" s="4" t="e">
        <f t="shared" si="28"/>
        <v>#DIV/0!</v>
      </c>
      <c r="Q58" s="4" t="e">
        <f t="shared" si="28"/>
        <v>#DIV/0!</v>
      </c>
      <c r="R58" s="4" t="e">
        <f t="shared" si="28"/>
        <v>#DIV/0!</v>
      </c>
      <c r="S58" s="4" t="e">
        <f t="shared" si="28"/>
        <v>#DIV/0!</v>
      </c>
      <c r="T58" s="4" t="e">
        <f t="shared" si="28"/>
        <v>#DIV/0!</v>
      </c>
      <c r="U58" s="4" t="e">
        <f t="shared" si="28"/>
        <v>#DIV/0!</v>
      </c>
      <c r="V58" s="4" t="e">
        <f t="shared" si="29"/>
        <v>#DIV/0!</v>
      </c>
      <c r="W58" s="4" t="e">
        <f t="shared" si="29"/>
        <v>#DIV/0!</v>
      </c>
      <c r="X58" s="4" t="e">
        <f t="shared" si="29"/>
        <v>#DIV/0!</v>
      </c>
      <c r="Y58" s="4" t="e">
        <f t="shared" si="29"/>
        <v>#DIV/0!</v>
      </c>
      <c r="Z58" s="4" t="e">
        <f t="shared" si="29"/>
        <v>#DIV/0!</v>
      </c>
      <c r="AA58" s="4" t="e">
        <f t="shared" si="29"/>
        <v>#DIV/0!</v>
      </c>
      <c r="AB58" s="4" t="e">
        <f t="shared" si="29"/>
        <v>#DIV/0!</v>
      </c>
      <c r="AC58" s="4" t="e">
        <f t="shared" si="29"/>
        <v>#DIV/0!</v>
      </c>
      <c r="AD58" s="4" t="e">
        <f t="shared" si="29"/>
        <v>#DIV/0!</v>
      </c>
      <c r="AE58" s="4" t="e">
        <f t="shared" si="29"/>
        <v>#DIV/0!</v>
      </c>
      <c r="AF58" s="4" t="e">
        <f t="shared" si="30"/>
        <v>#DIV/0!</v>
      </c>
      <c r="AG58" s="4" t="e">
        <f t="shared" si="30"/>
        <v>#DIV/0!</v>
      </c>
      <c r="AH58" s="4" t="e">
        <f t="shared" si="30"/>
        <v>#DIV/0!</v>
      </c>
      <c r="AI58" s="4" t="e">
        <f t="shared" si="30"/>
        <v>#DIV/0!</v>
      </c>
      <c r="AJ58" s="4" t="e">
        <f t="shared" si="30"/>
        <v>#DIV/0!</v>
      </c>
      <c r="AK58" s="4" t="e">
        <f t="shared" si="30"/>
        <v>#DIV/0!</v>
      </c>
      <c r="AL58" s="4" t="e">
        <f t="shared" si="30"/>
        <v>#DIV/0!</v>
      </c>
      <c r="AM58" s="4" t="e">
        <f t="shared" si="30"/>
        <v>#DIV/0!</v>
      </c>
      <c r="AN58" s="4" t="e">
        <f t="shared" si="30"/>
        <v>#DIV/0!</v>
      </c>
      <c r="AO58" s="4" t="e">
        <f t="shared" si="30"/>
        <v>#DIV/0!</v>
      </c>
    </row>
    <row r="59" spans="1:41" x14ac:dyDescent="0.2">
      <c r="A59" s="2">
        <f t="shared" si="22"/>
        <v>0</v>
      </c>
      <c r="B59" s="4" t="e">
        <f t="shared" si="27"/>
        <v>#DIV/0!</v>
      </c>
      <c r="C59" s="4" t="e">
        <f t="shared" si="27"/>
        <v>#DIV/0!</v>
      </c>
      <c r="D59" s="4" t="e">
        <f t="shared" si="27"/>
        <v>#DIV/0!</v>
      </c>
      <c r="E59" s="4" t="e">
        <f t="shared" si="27"/>
        <v>#DIV/0!</v>
      </c>
      <c r="F59" s="4" t="e">
        <f t="shared" si="27"/>
        <v>#DIV/0!</v>
      </c>
      <c r="G59" s="4" t="e">
        <f t="shared" si="27"/>
        <v>#DIV/0!</v>
      </c>
      <c r="H59" s="4" t="e">
        <f t="shared" si="27"/>
        <v>#DIV/0!</v>
      </c>
      <c r="I59" s="4" t="e">
        <f t="shared" si="27"/>
        <v>#DIV/0!</v>
      </c>
      <c r="J59" s="4" t="e">
        <f t="shared" si="27"/>
        <v>#DIV/0!</v>
      </c>
      <c r="K59" s="4" t="e">
        <f t="shared" si="27"/>
        <v>#DIV/0!</v>
      </c>
      <c r="L59" s="4" t="e">
        <f t="shared" si="28"/>
        <v>#DIV/0!</v>
      </c>
      <c r="M59" s="4" t="e">
        <f t="shared" si="28"/>
        <v>#DIV/0!</v>
      </c>
      <c r="N59" s="4" t="e">
        <f t="shared" si="28"/>
        <v>#DIV/0!</v>
      </c>
      <c r="O59" s="4" t="e">
        <f t="shared" si="28"/>
        <v>#DIV/0!</v>
      </c>
      <c r="P59" s="4" t="e">
        <f t="shared" si="28"/>
        <v>#DIV/0!</v>
      </c>
      <c r="Q59" s="4" t="e">
        <f t="shared" si="28"/>
        <v>#DIV/0!</v>
      </c>
      <c r="R59" s="4" t="e">
        <f t="shared" si="28"/>
        <v>#DIV/0!</v>
      </c>
      <c r="S59" s="4" t="e">
        <f t="shared" si="28"/>
        <v>#DIV/0!</v>
      </c>
      <c r="T59" s="4" t="e">
        <f t="shared" si="28"/>
        <v>#DIV/0!</v>
      </c>
      <c r="U59" s="4" t="e">
        <f t="shared" si="28"/>
        <v>#DIV/0!</v>
      </c>
      <c r="V59" s="4" t="e">
        <f t="shared" si="29"/>
        <v>#DIV/0!</v>
      </c>
      <c r="W59" s="4" t="e">
        <f t="shared" si="29"/>
        <v>#DIV/0!</v>
      </c>
      <c r="X59" s="4" t="e">
        <f t="shared" si="29"/>
        <v>#DIV/0!</v>
      </c>
      <c r="Y59" s="4" t="e">
        <f t="shared" si="29"/>
        <v>#DIV/0!</v>
      </c>
      <c r="Z59" s="4" t="e">
        <f t="shared" si="29"/>
        <v>#DIV/0!</v>
      </c>
      <c r="AA59" s="4" t="e">
        <f t="shared" si="29"/>
        <v>#DIV/0!</v>
      </c>
      <c r="AB59" s="4" t="e">
        <f t="shared" si="29"/>
        <v>#DIV/0!</v>
      </c>
      <c r="AC59" s="4" t="e">
        <f t="shared" si="29"/>
        <v>#DIV/0!</v>
      </c>
      <c r="AD59" s="4" t="e">
        <f t="shared" si="29"/>
        <v>#DIV/0!</v>
      </c>
      <c r="AE59" s="4" t="e">
        <f t="shared" si="29"/>
        <v>#DIV/0!</v>
      </c>
      <c r="AF59" s="4" t="e">
        <f t="shared" si="30"/>
        <v>#DIV/0!</v>
      </c>
      <c r="AG59" s="4" t="e">
        <f t="shared" si="30"/>
        <v>#DIV/0!</v>
      </c>
      <c r="AH59" s="4" t="e">
        <f t="shared" si="30"/>
        <v>#DIV/0!</v>
      </c>
      <c r="AI59" s="4" t="e">
        <f t="shared" si="30"/>
        <v>#DIV/0!</v>
      </c>
      <c r="AJ59" s="4" t="e">
        <f t="shared" si="30"/>
        <v>#DIV/0!</v>
      </c>
      <c r="AK59" s="4" t="e">
        <f t="shared" si="30"/>
        <v>#DIV/0!</v>
      </c>
      <c r="AL59" s="4" t="e">
        <f t="shared" si="30"/>
        <v>#DIV/0!</v>
      </c>
      <c r="AM59" s="4" t="e">
        <f t="shared" si="30"/>
        <v>#DIV/0!</v>
      </c>
      <c r="AN59" s="4" t="e">
        <f t="shared" si="30"/>
        <v>#DIV/0!</v>
      </c>
      <c r="AO59" s="4" t="e">
        <f t="shared" si="30"/>
        <v>#DIV/0!</v>
      </c>
    </row>
    <row r="60" spans="1:41" x14ac:dyDescent="0.2">
      <c r="A60" s="2">
        <f t="shared" si="22"/>
        <v>0</v>
      </c>
      <c r="B60" s="4" t="e">
        <f t="shared" si="27"/>
        <v>#DIV/0!</v>
      </c>
      <c r="C60" s="4" t="e">
        <f t="shared" si="27"/>
        <v>#DIV/0!</v>
      </c>
      <c r="D60" s="4" t="e">
        <f t="shared" si="27"/>
        <v>#DIV/0!</v>
      </c>
      <c r="E60" s="4" t="e">
        <f t="shared" si="27"/>
        <v>#DIV/0!</v>
      </c>
      <c r="F60" s="4" t="e">
        <f t="shared" si="27"/>
        <v>#DIV/0!</v>
      </c>
      <c r="G60" s="4" t="e">
        <f t="shared" si="27"/>
        <v>#DIV/0!</v>
      </c>
      <c r="H60" s="4" t="e">
        <f t="shared" si="27"/>
        <v>#DIV/0!</v>
      </c>
      <c r="I60" s="4" t="e">
        <f t="shared" si="27"/>
        <v>#DIV/0!</v>
      </c>
      <c r="J60" s="4" t="e">
        <f t="shared" si="27"/>
        <v>#DIV/0!</v>
      </c>
      <c r="K60" s="4" t="e">
        <f t="shared" si="27"/>
        <v>#DIV/0!</v>
      </c>
      <c r="L60" s="4" t="e">
        <f t="shared" si="28"/>
        <v>#DIV/0!</v>
      </c>
      <c r="M60" s="4" t="e">
        <f t="shared" si="28"/>
        <v>#DIV/0!</v>
      </c>
      <c r="N60" s="4" t="e">
        <f t="shared" si="28"/>
        <v>#DIV/0!</v>
      </c>
      <c r="O60" s="4" t="e">
        <f t="shared" si="28"/>
        <v>#DIV/0!</v>
      </c>
      <c r="P60" s="4" t="e">
        <f t="shared" si="28"/>
        <v>#DIV/0!</v>
      </c>
      <c r="Q60" s="4" t="e">
        <f t="shared" si="28"/>
        <v>#DIV/0!</v>
      </c>
      <c r="R60" s="4" t="e">
        <f t="shared" si="28"/>
        <v>#DIV/0!</v>
      </c>
      <c r="S60" s="4" t="e">
        <f t="shared" si="28"/>
        <v>#DIV/0!</v>
      </c>
      <c r="T60" s="4" t="e">
        <f t="shared" si="28"/>
        <v>#DIV/0!</v>
      </c>
      <c r="U60" s="4" t="e">
        <f t="shared" si="28"/>
        <v>#DIV/0!</v>
      </c>
      <c r="V60" s="4" t="e">
        <f t="shared" si="29"/>
        <v>#DIV/0!</v>
      </c>
      <c r="W60" s="4" t="e">
        <f t="shared" si="29"/>
        <v>#DIV/0!</v>
      </c>
      <c r="X60" s="4" t="e">
        <f t="shared" si="29"/>
        <v>#DIV/0!</v>
      </c>
      <c r="Y60" s="4" t="e">
        <f t="shared" si="29"/>
        <v>#DIV/0!</v>
      </c>
      <c r="Z60" s="4" t="e">
        <f t="shared" si="29"/>
        <v>#DIV/0!</v>
      </c>
      <c r="AA60" s="4" t="e">
        <f t="shared" si="29"/>
        <v>#DIV/0!</v>
      </c>
      <c r="AB60" s="4" t="e">
        <f t="shared" si="29"/>
        <v>#DIV/0!</v>
      </c>
      <c r="AC60" s="4" t="e">
        <f t="shared" si="29"/>
        <v>#DIV/0!</v>
      </c>
      <c r="AD60" s="4" t="e">
        <f t="shared" si="29"/>
        <v>#DIV/0!</v>
      </c>
      <c r="AE60" s="4" t="e">
        <f t="shared" si="29"/>
        <v>#DIV/0!</v>
      </c>
      <c r="AF60" s="4" t="e">
        <f t="shared" si="30"/>
        <v>#DIV/0!</v>
      </c>
      <c r="AG60" s="4" t="e">
        <f t="shared" si="30"/>
        <v>#DIV/0!</v>
      </c>
      <c r="AH60" s="4" t="e">
        <f t="shared" si="30"/>
        <v>#DIV/0!</v>
      </c>
      <c r="AI60" s="4" t="e">
        <f t="shared" si="30"/>
        <v>#DIV/0!</v>
      </c>
      <c r="AJ60" s="4" t="e">
        <f t="shared" si="30"/>
        <v>#DIV/0!</v>
      </c>
      <c r="AK60" s="4" t="e">
        <f t="shared" si="30"/>
        <v>#DIV/0!</v>
      </c>
      <c r="AL60" s="4" t="e">
        <f t="shared" si="30"/>
        <v>#DIV/0!</v>
      </c>
      <c r="AM60" s="4" t="e">
        <f t="shared" si="30"/>
        <v>#DIV/0!</v>
      </c>
      <c r="AN60" s="4" t="e">
        <f t="shared" si="30"/>
        <v>#DIV/0!</v>
      </c>
      <c r="AO60" s="4" t="e">
        <f t="shared" si="30"/>
        <v>#DIV/0!</v>
      </c>
    </row>
    <row r="61" spans="1:41" x14ac:dyDescent="0.2">
      <c r="A61" s="2">
        <f t="shared" si="22"/>
        <v>0</v>
      </c>
      <c r="B61" s="4" t="e">
        <f t="shared" si="27"/>
        <v>#DIV/0!</v>
      </c>
      <c r="C61" s="4" t="e">
        <f t="shared" si="27"/>
        <v>#DIV/0!</v>
      </c>
      <c r="D61" s="4" t="e">
        <f t="shared" si="27"/>
        <v>#DIV/0!</v>
      </c>
      <c r="E61" s="4" t="e">
        <f t="shared" si="27"/>
        <v>#DIV/0!</v>
      </c>
      <c r="F61" s="4" t="e">
        <f t="shared" si="27"/>
        <v>#DIV/0!</v>
      </c>
      <c r="G61" s="4" t="e">
        <f t="shared" si="27"/>
        <v>#DIV/0!</v>
      </c>
      <c r="H61" s="4" t="e">
        <f t="shared" si="27"/>
        <v>#DIV/0!</v>
      </c>
      <c r="I61" s="4" t="e">
        <f t="shared" si="27"/>
        <v>#DIV/0!</v>
      </c>
      <c r="J61" s="4" t="e">
        <f t="shared" si="27"/>
        <v>#DIV/0!</v>
      </c>
      <c r="K61" s="4" t="e">
        <f t="shared" si="27"/>
        <v>#DIV/0!</v>
      </c>
      <c r="L61" s="4" t="e">
        <f t="shared" si="28"/>
        <v>#DIV/0!</v>
      </c>
      <c r="M61" s="4" t="e">
        <f t="shared" si="28"/>
        <v>#DIV/0!</v>
      </c>
      <c r="N61" s="4" t="e">
        <f t="shared" si="28"/>
        <v>#DIV/0!</v>
      </c>
      <c r="O61" s="4" t="e">
        <f t="shared" si="28"/>
        <v>#DIV/0!</v>
      </c>
      <c r="P61" s="4" t="e">
        <f t="shared" si="28"/>
        <v>#DIV/0!</v>
      </c>
      <c r="Q61" s="4" t="e">
        <f t="shared" si="28"/>
        <v>#DIV/0!</v>
      </c>
      <c r="R61" s="4" t="e">
        <f t="shared" si="28"/>
        <v>#DIV/0!</v>
      </c>
      <c r="S61" s="4" t="e">
        <f t="shared" si="28"/>
        <v>#DIV/0!</v>
      </c>
      <c r="T61" s="4" t="e">
        <f t="shared" si="28"/>
        <v>#DIV/0!</v>
      </c>
      <c r="U61" s="4" t="e">
        <f t="shared" si="28"/>
        <v>#DIV/0!</v>
      </c>
      <c r="V61" s="4" t="e">
        <f t="shared" si="29"/>
        <v>#DIV/0!</v>
      </c>
      <c r="W61" s="4" t="e">
        <f t="shared" si="29"/>
        <v>#DIV/0!</v>
      </c>
      <c r="X61" s="4" t="e">
        <f t="shared" si="29"/>
        <v>#DIV/0!</v>
      </c>
      <c r="Y61" s="4" t="e">
        <f t="shared" si="29"/>
        <v>#DIV/0!</v>
      </c>
      <c r="Z61" s="4" t="e">
        <f t="shared" si="29"/>
        <v>#DIV/0!</v>
      </c>
      <c r="AA61" s="4" t="e">
        <f t="shared" si="29"/>
        <v>#DIV/0!</v>
      </c>
      <c r="AB61" s="4" t="e">
        <f t="shared" si="29"/>
        <v>#DIV/0!</v>
      </c>
      <c r="AC61" s="4" t="e">
        <f t="shared" si="29"/>
        <v>#DIV/0!</v>
      </c>
      <c r="AD61" s="4" t="e">
        <f t="shared" si="29"/>
        <v>#DIV/0!</v>
      </c>
      <c r="AE61" s="4" t="e">
        <f t="shared" si="29"/>
        <v>#DIV/0!</v>
      </c>
      <c r="AF61" s="4" t="e">
        <f t="shared" si="30"/>
        <v>#DIV/0!</v>
      </c>
      <c r="AG61" s="4" t="e">
        <f t="shared" si="30"/>
        <v>#DIV/0!</v>
      </c>
      <c r="AH61" s="4" t="e">
        <f t="shared" si="30"/>
        <v>#DIV/0!</v>
      </c>
      <c r="AI61" s="4" t="e">
        <f t="shared" si="30"/>
        <v>#DIV/0!</v>
      </c>
      <c r="AJ61" s="4" t="e">
        <f t="shared" si="30"/>
        <v>#DIV/0!</v>
      </c>
      <c r="AK61" s="4" t="e">
        <f t="shared" si="30"/>
        <v>#DIV/0!</v>
      </c>
      <c r="AL61" s="4" t="e">
        <f t="shared" si="30"/>
        <v>#DIV/0!</v>
      </c>
      <c r="AM61" s="4" t="e">
        <f t="shared" si="30"/>
        <v>#DIV/0!</v>
      </c>
      <c r="AN61" s="4" t="e">
        <f t="shared" si="30"/>
        <v>#DIV/0!</v>
      </c>
      <c r="AO61" s="4" t="e">
        <f t="shared" si="30"/>
        <v>#DIV/0!</v>
      </c>
    </row>
    <row r="62" spans="1:41" x14ac:dyDescent="0.2">
      <c r="A62" s="2">
        <f t="shared" si="22"/>
        <v>0</v>
      </c>
      <c r="B62" s="4" t="e">
        <f t="shared" si="27"/>
        <v>#DIV/0!</v>
      </c>
      <c r="C62" s="4" t="e">
        <f t="shared" si="27"/>
        <v>#DIV/0!</v>
      </c>
      <c r="D62" s="4" t="e">
        <f t="shared" si="27"/>
        <v>#DIV/0!</v>
      </c>
      <c r="E62" s="4" t="e">
        <f t="shared" si="27"/>
        <v>#DIV/0!</v>
      </c>
      <c r="F62" s="4" t="e">
        <f t="shared" si="27"/>
        <v>#DIV/0!</v>
      </c>
      <c r="G62" s="4" t="e">
        <f t="shared" si="27"/>
        <v>#DIV/0!</v>
      </c>
      <c r="H62" s="4" t="e">
        <f t="shared" si="27"/>
        <v>#DIV/0!</v>
      </c>
      <c r="I62" s="4" t="e">
        <f t="shared" si="27"/>
        <v>#DIV/0!</v>
      </c>
      <c r="J62" s="4" t="e">
        <f t="shared" si="27"/>
        <v>#DIV/0!</v>
      </c>
      <c r="K62" s="4" t="e">
        <f t="shared" si="27"/>
        <v>#DIV/0!</v>
      </c>
      <c r="L62" s="4" t="e">
        <f t="shared" si="28"/>
        <v>#DIV/0!</v>
      </c>
      <c r="M62" s="4" t="e">
        <f t="shared" si="28"/>
        <v>#DIV/0!</v>
      </c>
      <c r="N62" s="4" t="e">
        <f t="shared" si="28"/>
        <v>#DIV/0!</v>
      </c>
      <c r="O62" s="4" t="e">
        <f t="shared" si="28"/>
        <v>#DIV/0!</v>
      </c>
      <c r="P62" s="4" t="e">
        <f t="shared" si="28"/>
        <v>#DIV/0!</v>
      </c>
      <c r="Q62" s="4" t="e">
        <f t="shared" si="28"/>
        <v>#DIV/0!</v>
      </c>
      <c r="R62" s="4" t="e">
        <f t="shared" si="28"/>
        <v>#DIV/0!</v>
      </c>
      <c r="S62" s="4" t="e">
        <f t="shared" si="28"/>
        <v>#DIV/0!</v>
      </c>
      <c r="T62" s="4" t="e">
        <f t="shared" si="28"/>
        <v>#DIV/0!</v>
      </c>
      <c r="U62" s="4" t="e">
        <f t="shared" si="28"/>
        <v>#DIV/0!</v>
      </c>
      <c r="V62" s="4" t="e">
        <f t="shared" si="29"/>
        <v>#DIV/0!</v>
      </c>
      <c r="W62" s="4" t="e">
        <f t="shared" si="29"/>
        <v>#DIV/0!</v>
      </c>
      <c r="X62" s="4" t="e">
        <f t="shared" si="29"/>
        <v>#DIV/0!</v>
      </c>
      <c r="Y62" s="4" t="e">
        <f t="shared" si="29"/>
        <v>#DIV/0!</v>
      </c>
      <c r="Z62" s="4" t="e">
        <f t="shared" si="29"/>
        <v>#DIV/0!</v>
      </c>
      <c r="AA62" s="4" t="e">
        <f t="shared" si="29"/>
        <v>#DIV/0!</v>
      </c>
      <c r="AB62" s="4" t="e">
        <f t="shared" si="29"/>
        <v>#DIV/0!</v>
      </c>
      <c r="AC62" s="4" t="e">
        <f t="shared" si="29"/>
        <v>#DIV/0!</v>
      </c>
      <c r="AD62" s="4" t="e">
        <f t="shared" si="29"/>
        <v>#DIV/0!</v>
      </c>
      <c r="AE62" s="4" t="e">
        <f t="shared" si="29"/>
        <v>#DIV/0!</v>
      </c>
      <c r="AF62" s="4" t="e">
        <f t="shared" si="30"/>
        <v>#DIV/0!</v>
      </c>
      <c r="AG62" s="4" t="e">
        <f t="shared" si="30"/>
        <v>#DIV/0!</v>
      </c>
      <c r="AH62" s="4" t="e">
        <f t="shared" si="30"/>
        <v>#DIV/0!</v>
      </c>
      <c r="AI62" s="4" t="e">
        <f t="shared" si="30"/>
        <v>#DIV/0!</v>
      </c>
      <c r="AJ62" s="4" t="e">
        <f t="shared" si="30"/>
        <v>#DIV/0!</v>
      </c>
      <c r="AK62" s="4" t="e">
        <f t="shared" si="30"/>
        <v>#DIV/0!</v>
      </c>
      <c r="AL62" s="4" t="e">
        <f t="shared" si="30"/>
        <v>#DIV/0!</v>
      </c>
      <c r="AM62" s="4" t="e">
        <f t="shared" si="30"/>
        <v>#DIV/0!</v>
      </c>
      <c r="AN62" s="4" t="e">
        <f t="shared" si="30"/>
        <v>#DIV/0!</v>
      </c>
      <c r="AO62" s="4" t="e">
        <f t="shared" si="30"/>
        <v>#DIV/0!</v>
      </c>
    </row>
    <row r="63" spans="1:41" x14ac:dyDescent="0.2">
      <c r="A63" s="2">
        <f t="shared" si="22"/>
        <v>0</v>
      </c>
      <c r="B63" s="4" t="e">
        <f t="shared" si="27"/>
        <v>#DIV/0!</v>
      </c>
      <c r="C63" s="4" t="e">
        <f t="shared" si="27"/>
        <v>#DIV/0!</v>
      </c>
      <c r="D63" s="4" t="e">
        <f t="shared" si="27"/>
        <v>#DIV/0!</v>
      </c>
      <c r="E63" s="4" t="e">
        <f t="shared" si="27"/>
        <v>#DIV/0!</v>
      </c>
      <c r="F63" s="4" t="e">
        <f t="shared" si="27"/>
        <v>#DIV/0!</v>
      </c>
      <c r="G63" s="4" t="e">
        <f t="shared" si="27"/>
        <v>#DIV/0!</v>
      </c>
      <c r="H63" s="4" t="e">
        <f t="shared" si="27"/>
        <v>#DIV/0!</v>
      </c>
      <c r="I63" s="4" t="e">
        <f t="shared" si="27"/>
        <v>#DIV/0!</v>
      </c>
      <c r="J63" s="4" t="e">
        <f t="shared" si="27"/>
        <v>#DIV/0!</v>
      </c>
      <c r="K63" s="4" t="e">
        <f t="shared" si="27"/>
        <v>#DIV/0!</v>
      </c>
      <c r="L63" s="4" t="e">
        <f t="shared" si="28"/>
        <v>#DIV/0!</v>
      </c>
      <c r="M63" s="4" t="e">
        <f t="shared" si="28"/>
        <v>#DIV/0!</v>
      </c>
      <c r="N63" s="4" t="e">
        <f t="shared" si="28"/>
        <v>#DIV/0!</v>
      </c>
      <c r="O63" s="4" t="e">
        <f t="shared" si="28"/>
        <v>#DIV/0!</v>
      </c>
      <c r="P63" s="4" t="e">
        <f t="shared" si="28"/>
        <v>#DIV/0!</v>
      </c>
      <c r="Q63" s="4" t="e">
        <f t="shared" si="28"/>
        <v>#DIV/0!</v>
      </c>
      <c r="R63" s="4" t="e">
        <f t="shared" si="28"/>
        <v>#DIV/0!</v>
      </c>
      <c r="S63" s="4" t="e">
        <f t="shared" si="28"/>
        <v>#DIV/0!</v>
      </c>
      <c r="T63" s="4" t="e">
        <f t="shared" si="28"/>
        <v>#DIV/0!</v>
      </c>
      <c r="U63" s="4" t="e">
        <f t="shared" si="28"/>
        <v>#DIV/0!</v>
      </c>
      <c r="V63" s="4" t="e">
        <f t="shared" si="29"/>
        <v>#DIV/0!</v>
      </c>
      <c r="W63" s="4" t="e">
        <f t="shared" si="29"/>
        <v>#DIV/0!</v>
      </c>
      <c r="X63" s="4" t="e">
        <f t="shared" si="29"/>
        <v>#DIV/0!</v>
      </c>
      <c r="Y63" s="4" t="e">
        <f t="shared" si="29"/>
        <v>#DIV/0!</v>
      </c>
      <c r="Z63" s="4" t="e">
        <f t="shared" si="29"/>
        <v>#DIV/0!</v>
      </c>
      <c r="AA63" s="4" t="e">
        <f t="shared" si="29"/>
        <v>#DIV/0!</v>
      </c>
      <c r="AB63" s="4" t="e">
        <f t="shared" si="29"/>
        <v>#DIV/0!</v>
      </c>
      <c r="AC63" s="4" t="e">
        <f t="shared" si="29"/>
        <v>#DIV/0!</v>
      </c>
      <c r="AD63" s="4" t="e">
        <f t="shared" si="29"/>
        <v>#DIV/0!</v>
      </c>
      <c r="AE63" s="4" t="e">
        <f t="shared" si="29"/>
        <v>#DIV/0!</v>
      </c>
      <c r="AF63" s="4" t="e">
        <f t="shared" si="30"/>
        <v>#DIV/0!</v>
      </c>
      <c r="AG63" s="4" t="e">
        <f t="shared" si="30"/>
        <v>#DIV/0!</v>
      </c>
      <c r="AH63" s="4" t="e">
        <f t="shared" si="30"/>
        <v>#DIV/0!</v>
      </c>
      <c r="AI63" s="4" t="e">
        <f t="shared" si="30"/>
        <v>#DIV/0!</v>
      </c>
      <c r="AJ63" s="4" t="e">
        <f t="shared" si="30"/>
        <v>#DIV/0!</v>
      </c>
      <c r="AK63" s="4" t="e">
        <f t="shared" si="30"/>
        <v>#DIV/0!</v>
      </c>
      <c r="AL63" s="4" t="e">
        <f t="shared" si="30"/>
        <v>#DIV/0!</v>
      </c>
      <c r="AM63" s="4" t="e">
        <f t="shared" si="30"/>
        <v>#DIV/0!</v>
      </c>
      <c r="AN63" s="4" t="e">
        <f t="shared" si="30"/>
        <v>#DIV/0!</v>
      </c>
      <c r="AO63" s="4" t="e">
        <f t="shared" si="30"/>
        <v>#DIV/0!</v>
      </c>
    </row>
    <row r="64" spans="1:41" x14ac:dyDescent="0.2">
      <c r="A64" s="2">
        <f t="shared" si="22"/>
        <v>0</v>
      </c>
      <c r="B64" s="4" t="e">
        <f t="shared" si="27"/>
        <v>#DIV/0!</v>
      </c>
      <c r="C64" s="4" t="e">
        <f t="shared" si="27"/>
        <v>#DIV/0!</v>
      </c>
      <c r="D64" s="4" t="e">
        <f t="shared" si="27"/>
        <v>#DIV/0!</v>
      </c>
      <c r="E64" s="4" t="e">
        <f t="shared" si="27"/>
        <v>#DIV/0!</v>
      </c>
      <c r="F64" s="4" t="e">
        <f t="shared" si="27"/>
        <v>#DIV/0!</v>
      </c>
      <c r="G64" s="4" t="e">
        <f t="shared" si="27"/>
        <v>#DIV/0!</v>
      </c>
      <c r="H64" s="4" t="e">
        <f t="shared" si="27"/>
        <v>#DIV/0!</v>
      </c>
      <c r="I64" s="4" t="e">
        <f t="shared" si="27"/>
        <v>#DIV/0!</v>
      </c>
      <c r="J64" s="4" t="e">
        <f t="shared" si="27"/>
        <v>#DIV/0!</v>
      </c>
      <c r="K64" s="4" t="e">
        <f t="shared" si="27"/>
        <v>#DIV/0!</v>
      </c>
      <c r="L64" s="4" t="e">
        <f t="shared" si="28"/>
        <v>#DIV/0!</v>
      </c>
      <c r="M64" s="4" t="e">
        <f t="shared" si="28"/>
        <v>#DIV/0!</v>
      </c>
      <c r="N64" s="4" t="e">
        <f t="shared" si="28"/>
        <v>#DIV/0!</v>
      </c>
      <c r="O64" s="4" t="e">
        <f t="shared" si="28"/>
        <v>#DIV/0!</v>
      </c>
      <c r="P64" s="4" t="e">
        <f t="shared" si="28"/>
        <v>#DIV/0!</v>
      </c>
      <c r="Q64" s="4" t="e">
        <f t="shared" si="28"/>
        <v>#DIV/0!</v>
      </c>
      <c r="R64" s="4" t="e">
        <f t="shared" si="28"/>
        <v>#DIV/0!</v>
      </c>
      <c r="S64" s="4" t="e">
        <f t="shared" si="28"/>
        <v>#DIV/0!</v>
      </c>
      <c r="T64" s="4" t="e">
        <f t="shared" si="28"/>
        <v>#DIV/0!</v>
      </c>
      <c r="U64" s="4" t="e">
        <f t="shared" si="28"/>
        <v>#DIV/0!</v>
      </c>
      <c r="V64" s="4" t="e">
        <f t="shared" si="29"/>
        <v>#DIV/0!</v>
      </c>
      <c r="W64" s="4" t="e">
        <f t="shared" si="29"/>
        <v>#DIV/0!</v>
      </c>
      <c r="X64" s="4" t="e">
        <f t="shared" si="29"/>
        <v>#DIV/0!</v>
      </c>
      <c r="Y64" s="4" t="e">
        <f t="shared" si="29"/>
        <v>#DIV/0!</v>
      </c>
      <c r="Z64" s="4" t="e">
        <f t="shared" si="29"/>
        <v>#DIV/0!</v>
      </c>
      <c r="AA64" s="4" t="e">
        <f t="shared" si="29"/>
        <v>#DIV/0!</v>
      </c>
      <c r="AB64" s="4" t="e">
        <f t="shared" si="29"/>
        <v>#DIV/0!</v>
      </c>
      <c r="AC64" s="4" t="e">
        <f t="shared" si="29"/>
        <v>#DIV/0!</v>
      </c>
      <c r="AD64" s="4" t="e">
        <f t="shared" si="29"/>
        <v>#DIV/0!</v>
      </c>
      <c r="AE64" s="4" t="e">
        <f t="shared" si="29"/>
        <v>#DIV/0!</v>
      </c>
      <c r="AF64" s="4" t="e">
        <f t="shared" si="30"/>
        <v>#DIV/0!</v>
      </c>
      <c r="AG64" s="4" t="e">
        <f t="shared" si="30"/>
        <v>#DIV/0!</v>
      </c>
      <c r="AH64" s="4" t="e">
        <f t="shared" si="30"/>
        <v>#DIV/0!</v>
      </c>
      <c r="AI64" s="4" t="e">
        <f t="shared" si="30"/>
        <v>#DIV/0!</v>
      </c>
      <c r="AJ64" s="4" t="e">
        <f t="shared" si="30"/>
        <v>#DIV/0!</v>
      </c>
      <c r="AK64" s="4" t="e">
        <f t="shared" si="30"/>
        <v>#DIV/0!</v>
      </c>
      <c r="AL64" s="4" t="e">
        <f t="shared" si="30"/>
        <v>#DIV/0!</v>
      </c>
      <c r="AM64" s="4" t="e">
        <f t="shared" si="30"/>
        <v>#DIV/0!</v>
      </c>
      <c r="AN64" s="4" t="e">
        <f t="shared" si="30"/>
        <v>#DIV/0!</v>
      </c>
      <c r="AO64" s="4" t="e">
        <f t="shared" si="30"/>
        <v>#DIV/0!</v>
      </c>
    </row>
    <row r="65" spans="1:41" x14ac:dyDescent="0.2">
      <c r="A65" s="2">
        <f t="shared" si="22"/>
        <v>0</v>
      </c>
      <c r="B65" s="4" t="e">
        <f t="shared" si="27"/>
        <v>#DIV/0!</v>
      </c>
      <c r="C65" s="4" t="e">
        <f t="shared" si="27"/>
        <v>#DIV/0!</v>
      </c>
      <c r="D65" s="4" t="e">
        <f t="shared" si="27"/>
        <v>#DIV/0!</v>
      </c>
      <c r="E65" s="4" t="e">
        <f t="shared" si="27"/>
        <v>#DIV/0!</v>
      </c>
      <c r="F65" s="4" t="e">
        <f t="shared" si="27"/>
        <v>#DIV/0!</v>
      </c>
      <c r="G65" s="4" t="e">
        <f t="shared" si="27"/>
        <v>#DIV/0!</v>
      </c>
      <c r="H65" s="4" t="e">
        <f t="shared" si="27"/>
        <v>#DIV/0!</v>
      </c>
      <c r="I65" s="4" t="e">
        <f t="shared" si="27"/>
        <v>#DIV/0!</v>
      </c>
      <c r="J65" s="4" t="e">
        <f t="shared" si="27"/>
        <v>#DIV/0!</v>
      </c>
      <c r="K65" s="4" t="e">
        <f t="shared" si="27"/>
        <v>#DIV/0!</v>
      </c>
      <c r="L65" s="4" t="e">
        <f t="shared" si="28"/>
        <v>#DIV/0!</v>
      </c>
      <c r="M65" s="4" t="e">
        <f t="shared" si="28"/>
        <v>#DIV/0!</v>
      </c>
      <c r="N65" s="4" t="e">
        <f t="shared" si="28"/>
        <v>#DIV/0!</v>
      </c>
      <c r="O65" s="4" t="e">
        <f t="shared" si="28"/>
        <v>#DIV/0!</v>
      </c>
      <c r="P65" s="4" t="e">
        <f t="shared" si="28"/>
        <v>#DIV/0!</v>
      </c>
      <c r="Q65" s="4" t="e">
        <f t="shared" si="28"/>
        <v>#DIV/0!</v>
      </c>
      <c r="R65" s="4" t="e">
        <f t="shared" si="28"/>
        <v>#DIV/0!</v>
      </c>
      <c r="S65" s="4" t="e">
        <f t="shared" si="28"/>
        <v>#DIV/0!</v>
      </c>
      <c r="T65" s="4" t="e">
        <f t="shared" si="28"/>
        <v>#DIV/0!</v>
      </c>
      <c r="U65" s="4" t="e">
        <f t="shared" si="28"/>
        <v>#DIV/0!</v>
      </c>
      <c r="V65" s="4" t="e">
        <f t="shared" si="29"/>
        <v>#DIV/0!</v>
      </c>
      <c r="W65" s="4" t="e">
        <f t="shared" si="29"/>
        <v>#DIV/0!</v>
      </c>
      <c r="X65" s="4" t="e">
        <f t="shared" si="29"/>
        <v>#DIV/0!</v>
      </c>
      <c r="Y65" s="4" t="e">
        <f t="shared" si="29"/>
        <v>#DIV/0!</v>
      </c>
      <c r="Z65" s="4" t="e">
        <f t="shared" si="29"/>
        <v>#DIV/0!</v>
      </c>
      <c r="AA65" s="4" t="e">
        <f t="shared" si="29"/>
        <v>#DIV/0!</v>
      </c>
      <c r="AB65" s="4" t="e">
        <f t="shared" si="29"/>
        <v>#DIV/0!</v>
      </c>
      <c r="AC65" s="4" t="e">
        <f t="shared" si="29"/>
        <v>#DIV/0!</v>
      </c>
      <c r="AD65" s="4" t="e">
        <f t="shared" si="29"/>
        <v>#DIV/0!</v>
      </c>
      <c r="AE65" s="4" t="e">
        <f t="shared" si="29"/>
        <v>#DIV/0!</v>
      </c>
      <c r="AF65" s="4" t="e">
        <f t="shared" si="30"/>
        <v>#DIV/0!</v>
      </c>
      <c r="AG65" s="4" t="e">
        <f t="shared" si="30"/>
        <v>#DIV/0!</v>
      </c>
      <c r="AH65" s="4" t="e">
        <f t="shared" si="30"/>
        <v>#DIV/0!</v>
      </c>
      <c r="AI65" s="4" t="e">
        <f t="shared" si="30"/>
        <v>#DIV/0!</v>
      </c>
      <c r="AJ65" s="4" t="e">
        <f t="shared" si="30"/>
        <v>#DIV/0!</v>
      </c>
      <c r="AK65" s="4" t="e">
        <f t="shared" si="30"/>
        <v>#DIV/0!</v>
      </c>
      <c r="AL65" s="4" t="e">
        <f t="shared" si="30"/>
        <v>#DIV/0!</v>
      </c>
      <c r="AM65" s="4" t="e">
        <f t="shared" si="30"/>
        <v>#DIV/0!</v>
      </c>
      <c r="AN65" s="4" t="e">
        <f t="shared" si="30"/>
        <v>#DIV/0!</v>
      </c>
      <c r="AO65" s="4" t="e">
        <f t="shared" si="30"/>
        <v>#DIV/0!</v>
      </c>
    </row>
    <row r="66" spans="1:41" x14ac:dyDescent="0.2">
      <c r="A66" s="2">
        <f t="shared" si="22"/>
        <v>0</v>
      </c>
      <c r="B66" s="4" t="e">
        <f t="shared" si="27"/>
        <v>#DIV/0!</v>
      </c>
      <c r="C66" s="4" t="e">
        <f t="shared" si="27"/>
        <v>#DIV/0!</v>
      </c>
      <c r="D66" s="4" t="e">
        <f t="shared" si="27"/>
        <v>#DIV/0!</v>
      </c>
      <c r="E66" s="4" t="e">
        <f t="shared" si="27"/>
        <v>#DIV/0!</v>
      </c>
      <c r="F66" s="4" t="e">
        <f t="shared" si="27"/>
        <v>#DIV/0!</v>
      </c>
      <c r="G66" s="4" t="e">
        <f t="shared" si="27"/>
        <v>#DIV/0!</v>
      </c>
      <c r="H66" s="4" t="e">
        <f t="shared" si="27"/>
        <v>#DIV/0!</v>
      </c>
      <c r="I66" s="4" t="e">
        <f t="shared" si="27"/>
        <v>#DIV/0!</v>
      </c>
      <c r="J66" s="4" t="e">
        <f t="shared" si="27"/>
        <v>#DIV/0!</v>
      </c>
      <c r="K66" s="4" t="e">
        <f t="shared" si="27"/>
        <v>#DIV/0!</v>
      </c>
      <c r="L66" s="4" t="e">
        <f t="shared" si="28"/>
        <v>#DIV/0!</v>
      </c>
      <c r="M66" s="4" t="e">
        <f t="shared" si="28"/>
        <v>#DIV/0!</v>
      </c>
      <c r="N66" s="4" t="e">
        <f t="shared" si="28"/>
        <v>#DIV/0!</v>
      </c>
      <c r="O66" s="4" t="e">
        <f t="shared" si="28"/>
        <v>#DIV/0!</v>
      </c>
      <c r="P66" s="4" t="e">
        <f t="shared" si="28"/>
        <v>#DIV/0!</v>
      </c>
      <c r="Q66" s="4" t="e">
        <f t="shared" si="28"/>
        <v>#DIV/0!</v>
      </c>
      <c r="R66" s="4" t="e">
        <f t="shared" si="28"/>
        <v>#DIV/0!</v>
      </c>
      <c r="S66" s="4" t="e">
        <f t="shared" si="28"/>
        <v>#DIV/0!</v>
      </c>
      <c r="T66" s="4" t="e">
        <f t="shared" si="28"/>
        <v>#DIV/0!</v>
      </c>
      <c r="U66" s="4" t="e">
        <f t="shared" si="28"/>
        <v>#DIV/0!</v>
      </c>
      <c r="V66" s="4" t="e">
        <f t="shared" si="29"/>
        <v>#DIV/0!</v>
      </c>
      <c r="W66" s="4" t="e">
        <f t="shared" si="29"/>
        <v>#DIV/0!</v>
      </c>
      <c r="X66" s="4" t="e">
        <f t="shared" si="29"/>
        <v>#DIV/0!</v>
      </c>
      <c r="Y66" s="4" t="e">
        <f t="shared" si="29"/>
        <v>#DIV/0!</v>
      </c>
      <c r="Z66" s="4" t="e">
        <f t="shared" si="29"/>
        <v>#DIV/0!</v>
      </c>
      <c r="AA66" s="4" t="e">
        <f t="shared" si="29"/>
        <v>#DIV/0!</v>
      </c>
      <c r="AB66" s="4" t="e">
        <f t="shared" si="29"/>
        <v>#DIV/0!</v>
      </c>
      <c r="AC66" s="4" t="e">
        <f t="shared" si="29"/>
        <v>#DIV/0!</v>
      </c>
      <c r="AD66" s="4" t="e">
        <f t="shared" si="29"/>
        <v>#DIV/0!</v>
      </c>
      <c r="AE66" s="4" t="e">
        <f t="shared" si="29"/>
        <v>#DIV/0!</v>
      </c>
      <c r="AF66" s="4" t="e">
        <f t="shared" si="30"/>
        <v>#DIV/0!</v>
      </c>
      <c r="AG66" s="4" t="e">
        <f t="shared" si="30"/>
        <v>#DIV/0!</v>
      </c>
      <c r="AH66" s="4" t="e">
        <f t="shared" si="30"/>
        <v>#DIV/0!</v>
      </c>
      <c r="AI66" s="4" t="e">
        <f t="shared" si="30"/>
        <v>#DIV/0!</v>
      </c>
      <c r="AJ66" s="4" t="e">
        <f t="shared" si="30"/>
        <v>#DIV/0!</v>
      </c>
      <c r="AK66" s="4" t="e">
        <f t="shared" si="30"/>
        <v>#DIV/0!</v>
      </c>
      <c r="AL66" s="4" t="e">
        <f t="shared" si="30"/>
        <v>#DIV/0!</v>
      </c>
      <c r="AM66" s="4" t="e">
        <f t="shared" si="30"/>
        <v>#DIV/0!</v>
      </c>
      <c r="AN66" s="4" t="e">
        <f t="shared" si="30"/>
        <v>#DIV/0!</v>
      </c>
      <c r="AO66" s="4" t="e">
        <f t="shared" si="30"/>
        <v>#DIV/0!</v>
      </c>
    </row>
    <row r="67" spans="1:41" x14ac:dyDescent="0.2">
      <c r="A67" s="2"/>
    </row>
    <row r="68" spans="1:41" x14ac:dyDescent="0.2">
      <c r="A68" s="3" t="s">
        <v>35</v>
      </c>
    </row>
    <row r="69" spans="1:41" x14ac:dyDescent="0.2">
      <c r="A69" s="2">
        <f>A47</f>
        <v>5.4030310811624772E-2</v>
      </c>
      <c r="B69" s="1">
        <f t="shared" ref="B69:AO69" si="31">IF(B$45&lt;=$P21,0,B47*$U$12)</f>
        <v>0</v>
      </c>
      <c r="C69" s="1">
        <f t="shared" si="31"/>
        <v>0</v>
      </c>
      <c r="D69" s="1">
        <f t="shared" si="31"/>
        <v>0</v>
      </c>
      <c r="E69" s="1">
        <f t="shared" si="31"/>
        <v>0</v>
      </c>
      <c r="F69" s="1">
        <f t="shared" si="31"/>
        <v>0</v>
      </c>
      <c r="G69" s="1">
        <f t="shared" si="31"/>
        <v>0</v>
      </c>
      <c r="H69" s="1">
        <f t="shared" si="31"/>
        <v>0</v>
      </c>
      <c r="I69" s="1">
        <f t="shared" si="31"/>
        <v>0</v>
      </c>
      <c r="J69" s="1">
        <f t="shared" si="31"/>
        <v>0</v>
      </c>
      <c r="K69" s="1">
        <f t="shared" si="31"/>
        <v>0</v>
      </c>
      <c r="L69" s="1">
        <f t="shared" si="31"/>
        <v>0</v>
      </c>
      <c r="M69" s="1">
        <f t="shared" si="31"/>
        <v>0</v>
      </c>
      <c r="N69" s="1">
        <f t="shared" si="31"/>
        <v>0</v>
      </c>
      <c r="O69" s="1">
        <f t="shared" si="31"/>
        <v>0</v>
      </c>
      <c r="P69" s="1">
        <f t="shared" si="31"/>
        <v>0</v>
      </c>
      <c r="Q69" s="1">
        <f t="shared" si="31"/>
        <v>0</v>
      </c>
      <c r="R69" s="1">
        <f t="shared" si="31"/>
        <v>0</v>
      </c>
      <c r="S69" s="1">
        <f t="shared" si="31"/>
        <v>0</v>
      </c>
      <c r="T69" s="1">
        <f t="shared" si="31"/>
        <v>0</v>
      </c>
      <c r="U69" s="1">
        <f t="shared" si="31"/>
        <v>0</v>
      </c>
      <c r="V69" s="1">
        <f t="shared" si="31"/>
        <v>0</v>
      </c>
      <c r="W69" s="1">
        <f t="shared" si="31"/>
        <v>0</v>
      </c>
      <c r="X69" s="1">
        <f t="shared" si="31"/>
        <v>0</v>
      </c>
      <c r="Y69" s="1">
        <f t="shared" si="31"/>
        <v>0</v>
      </c>
      <c r="Z69" s="1">
        <f t="shared" si="31"/>
        <v>0</v>
      </c>
      <c r="AA69" s="1">
        <f t="shared" si="31"/>
        <v>0</v>
      </c>
      <c r="AB69" s="1">
        <f t="shared" si="31"/>
        <v>0</v>
      </c>
      <c r="AC69" s="1">
        <f t="shared" si="31"/>
        <v>0</v>
      </c>
      <c r="AD69" s="1">
        <f t="shared" si="31"/>
        <v>0</v>
      </c>
      <c r="AE69" s="1">
        <f t="shared" si="31"/>
        <v>0</v>
      </c>
      <c r="AF69" s="1">
        <f t="shared" si="31"/>
        <v>0</v>
      </c>
      <c r="AG69" s="1">
        <f t="shared" si="31"/>
        <v>0</v>
      </c>
      <c r="AH69" s="1">
        <f t="shared" si="31"/>
        <v>0</v>
      </c>
      <c r="AI69" s="1">
        <f t="shared" si="31"/>
        <v>0</v>
      </c>
      <c r="AJ69" s="1">
        <f t="shared" si="31"/>
        <v>0</v>
      </c>
      <c r="AK69" s="1">
        <f t="shared" si="31"/>
        <v>0</v>
      </c>
      <c r="AL69" s="1">
        <f t="shared" si="31"/>
        <v>0</v>
      </c>
      <c r="AM69" s="1">
        <f t="shared" si="31"/>
        <v>0</v>
      </c>
      <c r="AN69" s="1">
        <f t="shared" si="31"/>
        <v>0</v>
      </c>
      <c r="AO69" s="1">
        <f t="shared" si="31"/>
        <v>0</v>
      </c>
    </row>
    <row r="70" spans="1:41" x14ac:dyDescent="0.2">
      <c r="A70" s="2">
        <f t="shared" ref="A70:A88" si="32">A48</f>
        <v>8.2033922978797094E-2</v>
      </c>
      <c r="B70" s="1">
        <f t="shared" ref="B70:AO70" si="33">IF(B$45&lt;=$P22,0,B48*$U$12)</f>
        <v>0</v>
      </c>
      <c r="C70" s="1">
        <f t="shared" si="33"/>
        <v>0</v>
      </c>
      <c r="D70" s="1">
        <f t="shared" si="33"/>
        <v>0</v>
      </c>
      <c r="E70" s="1">
        <f t="shared" si="33"/>
        <v>0</v>
      </c>
      <c r="F70" s="1">
        <f t="shared" si="33"/>
        <v>0</v>
      </c>
      <c r="G70" s="1">
        <f t="shared" si="33"/>
        <v>0</v>
      </c>
      <c r="H70" s="1">
        <f t="shared" si="33"/>
        <v>0</v>
      </c>
      <c r="I70" s="1">
        <f t="shared" si="33"/>
        <v>0</v>
      </c>
      <c r="J70" s="1">
        <f t="shared" si="33"/>
        <v>0</v>
      </c>
      <c r="K70" s="1">
        <f t="shared" si="33"/>
        <v>0</v>
      </c>
      <c r="L70" s="1">
        <f t="shared" si="33"/>
        <v>0</v>
      </c>
      <c r="M70" s="1">
        <f t="shared" si="33"/>
        <v>0</v>
      </c>
      <c r="N70" s="1">
        <f t="shared" si="33"/>
        <v>0</v>
      </c>
      <c r="O70" s="1">
        <f t="shared" si="33"/>
        <v>0</v>
      </c>
      <c r="P70" s="1">
        <f t="shared" si="33"/>
        <v>0</v>
      </c>
      <c r="Q70" s="1">
        <f t="shared" si="33"/>
        <v>0</v>
      </c>
      <c r="R70" s="1">
        <f t="shared" si="33"/>
        <v>0</v>
      </c>
      <c r="S70" s="1">
        <f t="shared" si="33"/>
        <v>0</v>
      </c>
      <c r="T70" s="1">
        <f t="shared" si="33"/>
        <v>0</v>
      </c>
      <c r="U70" s="1">
        <f t="shared" si="33"/>
        <v>0</v>
      </c>
      <c r="V70" s="1">
        <f t="shared" si="33"/>
        <v>0</v>
      </c>
      <c r="W70" s="1">
        <f t="shared" si="33"/>
        <v>0</v>
      </c>
      <c r="X70" s="1">
        <f t="shared" si="33"/>
        <v>0</v>
      </c>
      <c r="Y70" s="1">
        <f t="shared" si="33"/>
        <v>0</v>
      </c>
      <c r="Z70" s="1">
        <f t="shared" si="33"/>
        <v>0</v>
      </c>
      <c r="AA70" s="1">
        <f t="shared" si="33"/>
        <v>0</v>
      </c>
      <c r="AB70" s="1">
        <f t="shared" si="33"/>
        <v>0</v>
      </c>
      <c r="AC70" s="1">
        <f t="shared" si="33"/>
        <v>0</v>
      </c>
      <c r="AD70" s="1">
        <f t="shared" si="33"/>
        <v>0</v>
      </c>
      <c r="AE70" s="1">
        <f t="shared" si="33"/>
        <v>0</v>
      </c>
      <c r="AF70" s="1">
        <f t="shared" si="33"/>
        <v>0</v>
      </c>
      <c r="AG70" s="1">
        <f t="shared" si="33"/>
        <v>0</v>
      </c>
      <c r="AH70" s="1">
        <f t="shared" si="33"/>
        <v>0</v>
      </c>
      <c r="AI70" s="1">
        <f t="shared" si="33"/>
        <v>0</v>
      </c>
      <c r="AJ70" s="1">
        <f t="shared" si="33"/>
        <v>0</v>
      </c>
      <c r="AK70" s="1">
        <f t="shared" si="33"/>
        <v>0</v>
      </c>
      <c r="AL70" s="1">
        <f t="shared" si="33"/>
        <v>0</v>
      </c>
      <c r="AM70" s="1">
        <f t="shared" si="33"/>
        <v>0</v>
      </c>
      <c r="AN70" s="1">
        <f t="shared" si="33"/>
        <v>0</v>
      </c>
      <c r="AO70" s="1">
        <f t="shared" si="33"/>
        <v>0</v>
      </c>
    </row>
    <row r="71" spans="1:41" x14ac:dyDescent="0.2">
      <c r="A71" s="2">
        <f t="shared" si="32"/>
        <v>9.1944415865399087E-2</v>
      </c>
      <c r="B71" s="1">
        <f t="shared" ref="B71:AO71" si="34">IF(B$45&lt;=$P23,0,B49*$U$12)</f>
        <v>0</v>
      </c>
      <c r="C71" s="1">
        <f t="shared" si="34"/>
        <v>0</v>
      </c>
      <c r="D71" s="1">
        <f t="shared" si="34"/>
        <v>0</v>
      </c>
      <c r="E71" s="1">
        <f t="shared" si="34"/>
        <v>0</v>
      </c>
      <c r="F71" s="1">
        <f t="shared" si="34"/>
        <v>0</v>
      </c>
      <c r="G71" s="1">
        <f t="shared" si="34"/>
        <v>0</v>
      </c>
      <c r="H71" s="1">
        <f t="shared" si="34"/>
        <v>0</v>
      </c>
      <c r="I71" s="1">
        <f t="shared" si="34"/>
        <v>0</v>
      </c>
      <c r="J71" s="1">
        <f t="shared" si="34"/>
        <v>0</v>
      </c>
      <c r="K71" s="1">
        <f t="shared" si="34"/>
        <v>0</v>
      </c>
      <c r="L71" s="1">
        <f t="shared" si="34"/>
        <v>0</v>
      </c>
      <c r="M71" s="1">
        <f t="shared" si="34"/>
        <v>0</v>
      </c>
      <c r="N71" s="1">
        <f t="shared" si="34"/>
        <v>0</v>
      </c>
      <c r="O71" s="1">
        <f t="shared" si="34"/>
        <v>0</v>
      </c>
      <c r="P71" s="1">
        <f t="shared" si="34"/>
        <v>0</v>
      </c>
      <c r="Q71" s="1">
        <f t="shared" si="34"/>
        <v>0</v>
      </c>
      <c r="R71" s="1">
        <f t="shared" si="34"/>
        <v>0</v>
      </c>
      <c r="S71" s="1">
        <f t="shared" si="34"/>
        <v>0</v>
      </c>
      <c r="T71" s="1">
        <f t="shared" si="34"/>
        <v>0</v>
      </c>
      <c r="U71" s="1">
        <f t="shared" si="34"/>
        <v>0</v>
      </c>
      <c r="V71" s="1">
        <f t="shared" si="34"/>
        <v>0</v>
      </c>
      <c r="W71" s="1">
        <f t="shared" si="34"/>
        <v>0</v>
      </c>
      <c r="X71" s="1">
        <f t="shared" si="34"/>
        <v>0</v>
      </c>
      <c r="Y71" s="1">
        <f t="shared" si="34"/>
        <v>0</v>
      </c>
      <c r="Z71" s="1">
        <f t="shared" si="34"/>
        <v>0</v>
      </c>
      <c r="AA71" s="1">
        <f t="shared" si="34"/>
        <v>0</v>
      </c>
      <c r="AB71" s="1">
        <f t="shared" si="34"/>
        <v>0</v>
      </c>
      <c r="AC71" s="1">
        <f t="shared" si="34"/>
        <v>0</v>
      </c>
      <c r="AD71" s="1">
        <f t="shared" si="34"/>
        <v>0</v>
      </c>
      <c r="AE71" s="1">
        <f t="shared" si="34"/>
        <v>0</v>
      </c>
      <c r="AF71" s="1">
        <f t="shared" si="34"/>
        <v>0</v>
      </c>
      <c r="AG71" s="1">
        <f t="shared" si="34"/>
        <v>0</v>
      </c>
      <c r="AH71" s="1">
        <f t="shared" si="34"/>
        <v>0</v>
      </c>
      <c r="AI71" s="1">
        <f t="shared" si="34"/>
        <v>0</v>
      </c>
      <c r="AJ71" s="1">
        <f t="shared" si="34"/>
        <v>0</v>
      </c>
      <c r="AK71" s="1">
        <f t="shared" si="34"/>
        <v>2.3035275237406294E-8</v>
      </c>
      <c r="AL71" s="1">
        <f t="shared" si="34"/>
        <v>1.1453446399677916E-8</v>
      </c>
      <c r="AM71" s="1">
        <f t="shared" si="34"/>
        <v>4.7631573279589163E-9</v>
      </c>
      <c r="AN71" s="1">
        <f t="shared" si="34"/>
        <v>1.4273470672099405E-9</v>
      </c>
      <c r="AO71" s="1">
        <f t="shared" si="34"/>
        <v>1.9158239245113716E-10</v>
      </c>
    </row>
    <row r="72" spans="1:41" x14ac:dyDescent="0.2">
      <c r="A72" s="2">
        <f t="shared" si="32"/>
        <v>9.6462480100896211E-2</v>
      </c>
      <c r="B72" s="1">
        <f t="shared" ref="B72:AO72" si="35">IF(B$45&lt;=$P24,0,B50*$U$12)</f>
        <v>0</v>
      </c>
      <c r="C72" s="1">
        <f t="shared" si="35"/>
        <v>0</v>
      </c>
      <c r="D72" s="1">
        <f t="shared" si="35"/>
        <v>0</v>
      </c>
      <c r="E72" s="1">
        <f t="shared" si="35"/>
        <v>0</v>
      </c>
      <c r="F72" s="1">
        <f t="shared" si="35"/>
        <v>0</v>
      </c>
      <c r="G72" s="1">
        <f t="shared" si="35"/>
        <v>0</v>
      </c>
      <c r="H72" s="1">
        <f t="shared" si="35"/>
        <v>0</v>
      </c>
      <c r="I72" s="1">
        <f t="shared" si="35"/>
        <v>0</v>
      </c>
      <c r="J72" s="1">
        <f t="shared" si="35"/>
        <v>0</v>
      </c>
      <c r="K72" s="1">
        <f t="shared" si="35"/>
        <v>0</v>
      </c>
      <c r="L72" s="1">
        <f t="shared" si="35"/>
        <v>0</v>
      </c>
      <c r="M72" s="1">
        <f t="shared" si="35"/>
        <v>0</v>
      </c>
      <c r="N72" s="1">
        <f t="shared" si="35"/>
        <v>0</v>
      </c>
      <c r="O72" s="1">
        <f t="shared" si="35"/>
        <v>0</v>
      </c>
      <c r="P72" s="1">
        <f t="shared" si="35"/>
        <v>0</v>
      </c>
      <c r="Q72" s="1">
        <f t="shared" si="35"/>
        <v>0</v>
      </c>
      <c r="R72" s="1">
        <f t="shared" si="35"/>
        <v>0</v>
      </c>
      <c r="S72" s="1">
        <f t="shared" si="35"/>
        <v>0</v>
      </c>
      <c r="T72" s="1">
        <f t="shared" si="35"/>
        <v>0</v>
      </c>
      <c r="U72" s="1">
        <f t="shared" si="35"/>
        <v>0</v>
      </c>
      <c r="V72" s="1">
        <f t="shared" si="35"/>
        <v>0</v>
      </c>
      <c r="W72" s="1">
        <f t="shared" si="35"/>
        <v>0</v>
      </c>
      <c r="X72" s="1">
        <f t="shared" si="35"/>
        <v>0</v>
      </c>
      <c r="Y72" s="1">
        <f t="shared" si="35"/>
        <v>0</v>
      </c>
      <c r="Z72" s="1">
        <f t="shared" si="35"/>
        <v>0</v>
      </c>
      <c r="AA72" s="1">
        <f t="shared" si="35"/>
        <v>0</v>
      </c>
      <c r="AB72" s="1">
        <f t="shared" si="35"/>
        <v>0</v>
      </c>
      <c r="AC72" s="1">
        <f t="shared" si="35"/>
        <v>0</v>
      </c>
      <c r="AD72" s="1">
        <f t="shared" si="35"/>
        <v>0</v>
      </c>
      <c r="AE72" s="1">
        <f t="shared" si="35"/>
        <v>0</v>
      </c>
      <c r="AF72" s="1">
        <f t="shared" si="35"/>
        <v>0</v>
      </c>
      <c r="AG72" s="1">
        <f t="shared" si="35"/>
        <v>0</v>
      </c>
      <c r="AH72" s="1">
        <f t="shared" si="35"/>
        <v>1.9321437513883226E-7</v>
      </c>
      <c r="AI72" s="1">
        <f t="shared" si="35"/>
        <v>1.252890571292793E-7</v>
      </c>
      <c r="AJ72" s="1">
        <f t="shared" si="35"/>
        <v>7.7062997744383508E-8</v>
      </c>
      <c r="AK72" s="1">
        <f t="shared" si="35"/>
        <v>4.4059556899236954E-8</v>
      </c>
      <c r="AL72" s="1">
        <f t="shared" si="35"/>
        <v>2.2635812791988827E-8</v>
      </c>
      <c r="AM72" s="1">
        <f t="shared" si="35"/>
        <v>9.808483447927496E-9</v>
      </c>
      <c r="AN72" s="1">
        <f t="shared" si="35"/>
        <v>3.1099231942801719E-9</v>
      </c>
      <c r="AO72" s="1">
        <f t="shared" si="35"/>
        <v>4.5859165092019327E-10</v>
      </c>
    </row>
    <row r="73" spans="1:41" x14ac:dyDescent="0.2">
      <c r="A73" s="2">
        <f t="shared" si="32"/>
        <v>0.10010376906299254</v>
      </c>
      <c r="B73" s="1">
        <f t="shared" ref="B73:AO73" si="36">IF(B$45&lt;=$P25,0,B51*$U$12)</f>
        <v>0</v>
      </c>
      <c r="C73" s="1">
        <f t="shared" si="36"/>
        <v>0</v>
      </c>
      <c r="D73" s="1">
        <f t="shared" si="36"/>
        <v>0</v>
      </c>
      <c r="E73" s="1">
        <f t="shared" si="36"/>
        <v>0</v>
      </c>
      <c r="F73" s="1">
        <f t="shared" si="36"/>
        <v>0</v>
      </c>
      <c r="G73" s="1">
        <f t="shared" si="36"/>
        <v>0</v>
      </c>
      <c r="H73" s="1">
        <f t="shared" si="36"/>
        <v>0</v>
      </c>
      <c r="I73" s="1">
        <f t="shared" si="36"/>
        <v>0</v>
      </c>
      <c r="J73" s="1">
        <f t="shared" si="36"/>
        <v>0</v>
      </c>
      <c r="K73" s="1">
        <f t="shared" si="36"/>
        <v>0</v>
      </c>
      <c r="L73" s="1">
        <f t="shared" si="36"/>
        <v>0</v>
      </c>
      <c r="M73" s="1">
        <f t="shared" si="36"/>
        <v>0</v>
      </c>
      <c r="N73" s="1">
        <f t="shared" si="36"/>
        <v>0</v>
      </c>
      <c r="O73" s="1">
        <f t="shared" si="36"/>
        <v>0</v>
      </c>
      <c r="P73" s="1">
        <f t="shared" si="36"/>
        <v>0</v>
      </c>
      <c r="Q73" s="1">
        <f t="shared" si="36"/>
        <v>0</v>
      </c>
      <c r="R73" s="1">
        <f t="shared" si="36"/>
        <v>0</v>
      </c>
      <c r="S73" s="1">
        <f t="shared" si="36"/>
        <v>0</v>
      </c>
      <c r="T73" s="1">
        <f t="shared" si="36"/>
        <v>0</v>
      </c>
      <c r="U73" s="1">
        <f t="shared" si="36"/>
        <v>0</v>
      </c>
      <c r="V73" s="1">
        <f t="shared" si="36"/>
        <v>0</v>
      </c>
      <c r="W73" s="1">
        <f t="shared" si="36"/>
        <v>0</v>
      </c>
      <c r="X73" s="1">
        <f t="shared" si="36"/>
        <v>0</v>
      </c>
      <c r="Y73" s="1">
        <f t="shared" si="36"/>
        <v>0</v>
      </c>
      <c r="Z73" s="1">
        <f t="shared" si="36"/>
        <v>0</v>
      </c>
      <c r="AA73" s="1">
        <f t="shared" si="36"/>
        <v>0</v>
      </c>
      <c r="AB73" s="1">
        <f t="shared" si="36"/>
        <v>0</v>
      </c>
      <c r="AC73" s="1">
        <f t="shared" si="36"/>
        <v>0</v>
      </c>
      <c r="AD73" s="1">
        <f t="shared" si="36"/>
        <v>0</v>
      </c>
      <c r="AE73" s="1">
        <f t="shared" si="36"/>
        <v>8.4986784616569579E-7</v>
      </c>
      <c r="AF73" s="1">
        <f t="shared" si="36"/>
        <v>6.132866881272917E-7</v>
      </c>
      <c r="AG73" s="1">
        <f t="shared" si="36"/>
        <v>4.323566591941031E-7</v>
      </c>
      <c r="AH73" s="1">
        <f t="shared" si="36"/>
        <v>2.9592063110511518E-7</v>
      </c>
      <c r="AI73" s="1">
        <f t="shared" si="36"/>
        <v>1.9493600957508857E-7</v>
      </c>
      <c r="AJ73" s="1">
        <f t="shared" si="36"/>
        <v>1.2204006517875513E-7</v>
      </c>
      <c r="AK73" s="1">
        <f t="shared" si="36"/>
        <v>7.1207994084330577E-8</v>
      </c>
      <c r="AL73" s="1">
        <f t="shared" si="36"/>
        <v>3.7480555019147521E-8</v>
      </c>
      <c r="AM73" s="1">
        <f t="shared" si="36"/>
        <v>1.6742604784157066E-8</v>
      </c>
      <c r="AN73" s="1">
        <f t="shared" si="36"/>
        <v>5.5349875185377021E-9</v>
      </c>
      <c r="AO73" s="1">
        <f t="shared" si="36"/>
        <v>8.7504953532956798E-10</v>
      </c>
    </row>
    <row r="74" spans="1:41" x14ac:dyDescent="0.2">
      <c r="A74" s="2">
        <f t="shared" si="32"/>
        <v>0.1032553356878641</v>
      </c>
      <c r="B74" s="1">
        <f t="shared" ref="B74:AO74" si="37">IF(B$45&lt;=$P26,0,B52*$U$12)</f>
        <v>0</v>
      </c>
      <c r="C74" s="1">
        <f t="shared" si="37"/>
        <v>0</v>
      </c>
      <c r="D74" s="1">
        <f t="shared" si="37"/>
        <v>0</v>
      </c>
      <c r="E74" s="1">
        <f t="shared" si="37"/>
        <v>0</v>
      </c>
      <c r="F74" s="1">
        <f t="shared" si="37"/>
        <v>0</v>
      </c>
      <c r="G74" s="1">
        <f t="shared" si="37"/>
        <v>0</v>
      </c>
      <c r="H74" s="1">
        <f t="shared" si="37"/>
        <v>0</v>
      </c>
      <c r="I74" s="1">
        <f t="shared" si="37"/>
        <v>0</v>
      </c>
      <c r="J74" s="1">
        <f t="shared" si="37"/>
        <v>0</v>
      </c>
      <c r="K74" s="1">
        <f t="shared" si="37"/>
        <v>0</v>
      </c>
      <c r="L74" s="1">
        <f t="shared" si="37"/>
        <v>0</v>
      </c>
      <c r="M74" s="1">
        <f t="shared" si="37"/>
        <v>0</v>
      </c>
      <c r="N74" s="1">
        <f t="shared" si="37"/>
        <v>0</v>
      </c>
      <c r="O74" s="1">
        <f t="shared" si="37"/>
        <v>0</v>
      </c>
      <c r="P74" s="1">
        <f t="shared" si="37"/>
        <v>0</v>
      </c>
      <c r="Q74" s="1">
        <f t="shared" si="37"/>
        <v>0</v>
      </c>
      <c r="R74" s="1">
        <f t="shared" si="37"/>
        <v>0</v>
      </c>
      <c r="S74" s="1">
        <f t="shared" si="37"/>
        <v>0</v>
      </c>
      <c r="T74" s="1">
        <f t="shared" si="37"/>
        <v>0</v>
      </c>
      <c r="U74" s="1">
        <f t="shared" si="37"/>
        <v>0</v>
      </c>
      <c r="V74" s="1">
        <f t="shared" si="37"/>
        <v>0</v>
      </c>
      <c r="W74" s="1">
        <f t="shared" si="37"/>
        <v>0</v>
      </c>
      <c r="X74" s="1">
        <f t="shared" si="37"/>
        <v>0</v>
      </c>
      <c r="Y74" s="1">
        <f t="shared" si="37"/>
        <v>0</v>
      </c>
      <c r="Z74" s="1">
        <f t="shared" si="37"/>
        <v>0</v>
      </c>
      <c r="AA74" s="1">
        <f t="shared" si="37"/>
        <v>0</v>
      </c>
      <c r="AB74" s="1">
        <f t="shared" si="37"/>
        <v>0</v>
      </c>
      <c r="AC74" s="1">
        <f t="shared" si="37"/>
        <v>0</v>
      </c>
      <c r="AD74" s="1">
        <f t="shared" si="37"/>
        <v>1.5651821429964272E-6</v>
      </c>
      <c r="AE74" s="1">
        <f t="shared" si="37"/>
        <v>1.1616145760026351E-6</v>
      </c>
      <c r="AF74" s="1">
        <f t="shared" si="37"/>
        <v>8.4664003171696312E-7</v>
      </c>
      <c r="AG74" s="1">
        <f t="shared" si="37"/>
        <v>6.0326942755468415E-7</v>
      </c>
      <c r="AH74" s="1">
        <f t="shared" si="37"/>
        <v>4.1770568280824779E-7</v>
      </c>
      <c r="AI74" s="1">
        <f t="shared" si="37"/>
        <v>2.7868933461460381E-7</v>
      </c>
      <c r="AJ74" s="1">
        <f t="shared" si="37"/>
        <v>1.7698586423987518E-7</v>
      </c>
      <c r="AK74" s="1">
        <f t="shared" si="37"/>
        <v>1.0497992617585926E-7</v>
      </c>
      <c r="AL74" s="1">
        <f t="shared" si="37"/>
        <v>5.6349584685506978E-8</v>
      </c>
      <c r="AM74" s="1">
        <f t="shared" si="37"/>
        <v>2.579823159550628E-8</v>
      </c>
      <c r="AN74" s="1">
        <f t="shared" si="37"/>
        <v>8.8217696066259885E-9</v>
      </c>
      <c r="AO74" s="1">
        <f t="shared" si="37"/>
        <v>1.4754430345683643E-9</v>
      </c>
    </row>
    <row r="75" spans="1:41" x14ac:dyDescent="0.2">
      <c r="A75" s="2">
        <f t="shared" si="32"/>
        <v>0.10607654542558198</v>
      </c>
      <c r="B75" s="1">
        <f t="shared" ref="B75:AO75" si="38">IF(B$45&lt;=$P27,0,B53*$U$12)</f>
        <v>0</v>
      </c>
      <c r="C75" s="1">
        <f t="shared" si="38"/>
        <v>0</v>
      </c>
      <c r="D75" s="1">
        <f t="shared" si="38"/>
        <v>0</v>
      </c>
      <c r="E75" s="1">
        <f t="shared" si="38"/>
        <v>0</v>
      </c>
      <c r="F75" s="1">
        <f t="shared" si="38"/>
        <v>0</v>
      </c>
      <c r="G75" s="1">
        <f t="shared" si="38"/>
        <v>0</v>
      </c>
      <c r="H75" s="1">
        <f t="shared" si="38"/>
        <v>0</v>
      </c>
      <c r="I75" s="1">
        <f t="shared" si="38"/>
        <v>0</v>
      </c>
      <c r="J75" s="1">
        <f t="shared" si="38"/>
        <v>0</v>
      </c>
      <c r="K75" s="1">
        <f t="shared" si="38"/>
        <v>0</v>
      </c>
      <c r="L75" s="1">
        <f t="shared" si="38"/>
        <v>0</v>
      </c>
      <c r="M75" s="1">
        <f t="shared" si="38"/>
        <v>0</v>
      </c>
      <c r="N75" s="1">
        <f t="shared" si="38"/>
        <v>0</v>
      </c>
      <c r="O75" s="1">
        <f t="shared" si="38"/>
        <v>0</v>
      </c>
      <c r="P75" s="1">
        <f t="shared" si="38"/>
        <v>0</v>
      </c>
      <c r="Q75" s="1">
        <f t="shared" si="38"/>
        <v>0</v>
      </c>
      <c r="R75" s="1">
        <f t="shared" si="38"/>
        <v>0</v>
      </c>
      <c r="S75" s="1">
        <f t="shared" si="38"/>
        <v>0</v>
      </c>
      <c r="T75" s="1">
        <f t="shared" si="38"/>
        <v>0</v>
      </c>
      <c r="U75" s="1">
        <f t="shared" si="38"/>
        <v>0</v>
      </c>
      <c r="V75" s="1">
        <f t="shared" si="38"/>
        <v>0</v>
      </c>
      <c r="W75" s="1">
        <f t="shared" si="38"/>
        <v>0</v>
      </c>
      <c r="X75" s="1">
        <f t="shared" si="38"/>
        <v>0</v>
      </c>
      <c r="Y75" s="1">
        <f t="shared" si="38"/>
        <v>0</v>
      </c>
      <c r="Z75" s="1">
        <f t="shared" si="38"/>
        <v>0</v>
      </c>
      <c r="AA75" s="1">
        <f t="shared" si="38"/>
        <v>0</v>
      </c>
      <c r="AB75" s="1">
        <f t="shared" si="38"/>
        <v>3.471540302286002E-6</v>
      </c>
      <c r="AC75" s="1">
        <f t="shared" si="38"/>
        <v>2.6646921282740629E-6</v>
      </c>
      <c r="AD75" s="1">
        <f t="shared" si="38"/>
        <v>2.021926223341021E-6</v>
      </c>
      <c r="AE75" s="1">
        <f t="shared" si="38"/>
        <v>1.5125395107430047E-6</v>
      </c>
      <c r="AF75" s="1">
        <f t="shared" si="38"/>
        <v>1.1117234974537925E-6</v>
      </c>
      <c r="AG75" s="1">
        <f t="shared" si="38"/>
        <v>7.9932592292900046E-7</v>
      </c>
      <c r="AH75" s="1">
        <f t="shared" si="38"/>
        <v>5.5889313100387933E-7</v>
      </c>
      <c r="AI75" s="1">
        <f t="shared" si="38"/>
        <v>3.7692329708582859E-7</v>
      </c>
      <c r="AJ75" s="1">
        <f t="shared" si="38"/>
        <v>2.4227882350373938E-7</v>
      </c>
      <c r="AK75" s="1">
        <f t="shared" si="38"/>
        <v>1.4571892749187112E-7</v>
      </c>
      <c r="AL75" s="1">
        <f t="shared" si="38"/>
        <v>7.9521958945208455E-8</v>
      </c>
      <c r="AM75" s="1">
        <f t="shared" si="38"/>
        <v>3.7171520359072661E-8</v>
      </c>
      <c r="AN75" s="1">
        <f t="shared" si="38"/>
        <v>1.3078885447647722E-8</v>
      </c>
      <c r="AO75" s="1">
        <f t="shared" si="38"/>
        <v>2.2939967289871854E-9</v>
      </c>
    </row>
    <row r="76" spans="1:41" x14ac:dyDescent="0.2">
      <c r="A76" s="2">
        <f t="shared" si="32"/>
        <v>0.10865343289654482</v>
      </c>
      <c r="B76" s="1">
        <f t="shared" ref="B76:AO76" si="39">IF(B$45&lt;=$P28,0,B54*$U$12)</f>
        <v>0</v>
      </c>
      <c r="C76" s="1">
        <f t="shared" si="39"/>
        <v>0</v>
      </c>
      <c r="D76" s="1">
        <f t="shared" si="39"/>
        <v>0</v>
      </c>
      <c r="E76" s="1">
        <f t="shared" si="39"/>
        <v>0</v>
      </c>
      <c r="F76" s="1">
        <f t="shared" si="39"/>
        <v>0</v>
      </c>
      <c r="G76" s="1">
        <f t="shared" si="39"/>
        <v>0</v>
      </c>
      <c r="H76" s="1">
        <f t="shared" si="39"/>
        <v>0</v>
      </c>
      <c r="I76" s="1">
        <f t="shared" si="39"/>
        <v>0</v>
      </c>
      <c r="J76" s="1">
        <f t="shared" si="39"/>
        <v>0</v>
      </c>
      <c r="K76" s="1">
        <f t="shared" si="39"/>
        <v>0</v>
      </c>
      <c r="L76" s="1">
        <f t="shared" si="39"/>
        <v>0</v>
      </c>
      <c r="M76" s="1">
        <f t="shared" si="39"/>
        <v>0</v>
      </c>
      <c r="N76" s="1">
        <f t="shared" si="39"/>
        <v>0</v>
      </c>
      <c r="O76" s="1">
        <f t="shared" si="39"/>
        <v>0</v>
      </c>
      <c r="P76" s="1">
        <f t="shared" si="39"/>
        <v>0</v>
      </c>
      <c r="Q76" s="1">
        <f t="shared" si="39"/>
        <v>0</v>
      </c>
      <c r="R76" s="1">
        <f t="shared" si="39"/>
        <v>0</v>
      </c>
      <c r="S76" s="1">
        <f t="shared" si="39"/>
        <v>0</v>
      </c>
      <c r="T76" s="1">
        <f t="shared" si="39"/>
        <v>0</v>
      </c>
      <c r="U76" s="1">
        <f t="shared" si="39"/>
        <v>0</v>
      </c>
      <c r="V76" s="1">
        <f t="shared" si="39"/>
        <v>0</v>
      </c>
      <c r="W76" s="1">
        <f t="shared" si="39"/>
        <v>0</v>
      </c>
      <c r="X76" s="1">
        <f t="shared" si="39"/>
        <v>0</v>
      </c>
      <c r="Y76" s="1">
        <f t="shared" si="39"/>
        <v>0</v>
      </c>
      <c r="Z76" s="1">
        <f t="shared" si="39"/>
        <v>0</v>
      </c>
      <c r="AA76" s="1">
        <f t="shared" si="39"/>
        <v>5.4912642805257689E-6</v>
      </c>
      <c r="AB76" s="1">
        <f t="shared" si="39"/>
        <v>4.280343635879855E-6</v>
      </c>
      <c r="AC76" s="1">
        <f t="shared" si="39"/>
        <v>3.3061907759989965E-6</v>
      </c>
      <c r="AD76" s="1">
        <f t="shared" si="39"/>
        <v>2.5251626682210477E-6</v>
      </c>
      <c r="AE76" s="1">
        <f t="shared" si="39"/>
        <v>1.9020435710889486E-6</v>
      </c>
      <c r="AF76" s="1">
        <f t="shared" si="39"/>
        <v>1.4082561622702305E-6</v>
      </c>
      <c r="AG76" s="1">
        <f t="shared" si="39"/>
        <v>1.0204852115545913E-6</v>
      </c>
      <c r="AH76" s="1">
        <f t="shared" si="39"/>
        <v>7.1960973532025618E-7</v>
      </c>
      <c r="AI76" s="1">
        <f t="shared" si="39"/>
        <v>4.8986743708686767E-7</v>
      </c>
      <c r="AJ76" s="1">
        <f t="shared" si="39"/>
        <v>3.1819485075300296E-7</v>
      </c>
      <c r="AK76" s="1">
        <f t="shared" si="39"/>
        <v>1.9370028753108765E-7</v>
      </c>
      <c r="AL76" s="1">
        <f t="shared" si="39"/>
        <v>1.0723573040110514E-7</v>
      </c>
      <c r="AM76" s="1">
        <f t="shared" si="39"/>
        <v>5.10382532599831E-8</v>
      </c>
      <c r="AN76" s="1">
        <f t="shared" si="39"/>
        <v>1.8408355469835225E-8</v>
      </c>
      <c r="AO76" s="1">
        <f t="shared" si="39"/>
        <v>3.3648542644458931E-9</v>
      </c>
    </row>
    <row r="77" spans="1:41" x14ac:dyDescent="0.2">
      <c r="A77" s="2">
        <f t="shared" si="32"/>
        <v>0.1110392881323021</v>
      </c>
      <c r="B77" s="1">
        <f t="shared" ref="B77:AO77" si="40">IF(B$45&lt;=$P29,0,B55*$U$12)</f>
        <v>0</v>
      </c>
      <c r="C77" s="1">
        <f t="shared" si="40"/>
        <v>0</v>
      </c>
      <c r="D77" s="1">
        <f t="shared" si="40"/>
        <v>0</v>
      </c>
      <c r="E77" s="1">
        <f t="shared" si="40"/>
        <v>0</v>
      </c>
      <c r="F77" s="1">
        <f t="shared" si="40"/>
        <v>0</v>
      </c>
      <c r="G77" s="1">
        <f t="shared" si="40"/>
        <v>0</v>
      </c>
      <c r="H77" s="1">
        <f t="shared" si="40"/>
        <v>0</v>
      </c>
      <c r="I77" s="1">
        <f t="shared" si="40"/>
        <v>0</v>
      </c>
      <c r="J77" s="1">
        <f t="shared" si="40"/>
        <v>0</v>
      </c>
      <c r="K77" s="1">
        <f t="shared" si="40"/>
        <v>0</v>
      </c>
      <c r="L77" s="1">
        <f t="shared" si="40"/>
        <v>0</v>
      </c>
      <c r="M77" s="1">
        <f t="shared" si="40"/>
        <v>0</v>
      </c>
      <c r="N77" s="1">
        <f t="shared" si="40"/>
        <v>0</v>
      </c>
      <c r="O77" s="1">
        <f t="shared" si="40"/>
        <v>0</v>
      </c>
      <c r="P77" s="1">
        <f t="shared" si="40"/>
        <v>0</v>
      </c>
      <c r="Q77" s="1">
        <f t="shared" si="40"/>
        <v>0</v>
      </c>
      <c r="R77" s="1">
        <f t="shared" si="40"/>
        <v>0</v>
      </c>
      <c r="S77" s="1">
        <f t="shared" si="40"/>
        <v>0</v>
      </c>
      <c r="T77" s="1">
        <f t="shared" si="40"/>
        <v>0</v>
      </c>
      <c r="U77" s="1">
        <f t="shared" si="40"/>
        <v>0</v>
      </c>
      <c r="V77" s="1">
        <f t="shared" si="40"/>
        <v>0</v>
      </c>
      <c r="W77" s="1">
        <f t="shared" si="40"/>
        <v>0</v>
      </c>
      <c r="X77" s="1">
        <f t="shared" si="40"/>
        <v>0</v>
      </c>
      <c r="Y77" s="1">
        <f t="shared" si="40"/>
        <v>0</v>
      </c>
      <c r="Z77" s="1">
        <f t="shared" si="40"/>
        <v>8.3282747975828928E-6</v>
      </c>
      <c r="AA77" s="1">
        <f t="shared" si="40"/>
        <v>6.5735108711091918E-6</v>
      </c>
      <c r="AB77" s="1">
        <f t="shared" si="40"/>
        <v>5.1514369630585053E-6</v>
      </c>
      <c r="AC77" s="1">
        <f t="shared" si="40"/>
        <v>4.0011736440064938E-6</v>
      </c>
      <c r="AD77" s="1">
        <f t="shared" si="40"/>
        <v>3.0737150850180256E-6</v>
      </c>
      <c r="AE77" s="1">
        <f t="shared" si="40"/>
        <v>2.3293730161519658E-6</v>
      </c>
      <c r="AF77" s="1">
        <f t="shared" si="40"/>
        <v>1.7358215365375982E-6</v>
      </c>
      <c r="AG77" s="1">
        <f t="shared" si="40"/>
        <v>1.2665885644979075E-6</v>
      </c>
      <c r="AH77" s="1">
        <f t="shared" si="40"/>
        <v>8.9988207383346436E-7</v>
      </c>
      <c r="AI77" s="1">
        <f t="shared" si="40"/>
        <v>6.1766899044920782E-7</v>
      </c>
      <c r="AJ77" s="1">
        <f t="shared" si="40"/>
        <v>4.0494556536337755E-7</v>
      </c>
      <c r="AK77" s="1">
        <f t="shared" si="40"/>
        <v>2.4915262997508811E-7</v>
      </c>
      <c r="AL77" s="1">
        <f t="shared" si="40"/>
        <v>1.3969867314360302E-7</v>
      </c>
      <c r="AM77" s="1">
        <f t="shared" si="40"/>
        <v>6.7558000013753633E-8</v>
      </c>
      <c r="AN77" s="1">
        <f t="shared" si="40"/>
        <v>2.4906458023987403E-8</v>
      </c>
      <c r="AO77" s="1">
        <f t="shared" si="40"/>
        <v>4.7219500125830365E-9</v>
      </c>
    </row>
    <row r="78" spans="1:41" x14ac:dyDescent="0.2">
      <c r="A78" s="2">
        <f t="shared" si="32"/>
        <v>0.1132700552548038</v>
      </c>
      <c r="B78" s="1">
        <f t="shared" ref="B78:AO78" si="41">IF(B$45&lt;=$P30,0,B56*$U$12)</f>
        <v>0</v>
      </c>
      <c r="C78" s="1">
        <f t="shared" si="41"/>
        <v>0</v>
      </c>
      <c r="D78" s="1">
        <f t="shared" si="41"/>
        <v>0</v>
      </c>
      <c r="E78" s="1">
        <f t="shared" si="41"/>
        <v>0</v>
      </c>
      <c r="F78" s="1">
        <f t="shared" si="41"/>
        <v>0</v>
      </c>
      <c r="G78" s="1">
        <f t="shared" si="41"/>
        <v>0</v>
      </c>
      <c r="H78" s="1">
        <f t="shared" si="41"/>
        <v>0</v>
      </c>
      <c r="I78" s="1">
        <f t="shared" si="41"/>
        <v>0</v>
      </c>
      <c r="J78" s="1">
        <f t="shared" si="41"/>
        <v>0</v>
      </c>
      <c r="K78" s="1">
        <f t="shared" si="41"/>
        <v>0</v>
      </c>
      <c r="L78" s="1">
        <f t="shared" si="41"/>
        <v>0</v>
      </c>
      <c r="M78" s="1">
        <f t="shared" si="41"/>
        <v>0</v>
      </c>
      <c r="N78" s="1">
        <f t="shared" si="41"/>
        <v>0</v>
      </c>
      <c r="O78" s="1">
        <f t="shared" si="41"/>
        <v>0</v>
      </c>
      <c r="P78" s="1">
        <f t="shared" si="41"/>
        <v>0</v>
      </c>
      <c r="Q78" s="1">
        <f t="shared" si="41"/>
        <v>0</v>
      </c>
      <c r="R78" s="1">
        <f t="shared" si="41"/>
        <v>0</v>
      </c>
      <c r="S78" s="1">
        <f t="shared" si="41"/>
        <v>0</v>
      </c>
      <c r="T78" s="1">
        <f t="shared" si="41"/>
        <v>0</v>
      </c>
      <c r="U78" s="1">
        <f t="shared" si="41"/>
        <v>0</v>
      </c>
      <c r="V78" s="1">
        <f t="shared" si="41"/>
        <v>0</v>
      </c>
      <c r="W78" s="1">
        <f t="shared" si="41"/>
        <v>0</v>
      </c>
      <c r="X78" s="1">
        <f t="shared" si="41"/>
        <v>0</v>
      </c>
      <c r="Y78" s="1">
        <f t="shared" si="41"/>
        <v>1.2215821385877026E-5</v>
      </c>
      <c r="Z78" s="1">
        <f t="shared" si="41"/>
        <v>9.7409377456084901E-6</v>
      </c>
      <c r="AA78" s="1">
        <f t="shared" si="41"/>
        <v>7.7244370849154338E-6</v>
      </c>
      <c r="AB78" s="1">
        <f t="shared" si="41"/>
        <v>6.0825103062414642E-6</v>
      </c>
      <c r="AC78" s="1">
        <f t="shared" si="41"/>
        <v>4.7479171055187344E-6</v>
      </c>
      <c r="AD78" s="1">
        <f t="shared" si="41"/>
        <v>3.6663573782272229E-6</v>
      </c>
      <c r="AE78" s="1">
        <f t="shared" si="41"/>
        <v>2.7937136967965097E-6</v>
      </c>
      <c r="AF78" s="1">
        <f t="shared" si="41"/>
        <v>2.0939367157769624E-6</v>
      </c>
      <c r="AG78" s="1">
        <f t="shared" si="41"/>
        <v>1.5374095787868626E-6</v>
      </c>
      <c r="AH78" s="1">
        <f t="shared" si="41"/>
        <v>1.0996721565381578E-6</v>
      </c>
      <c r="AI78" s="1">
        <f t="shared" si="41"/>
        <v>7.6041741052630033E-7</v>
      </c>
      <c r="AJ78" s="1">
        <f t="shared" si="41"/>
        <v>5.0269436730241E-7</v>
      </c>
      <c r="AK78" s="1">
        <f t="shared" si="41"/>
        <v>3.1226763610920275E-7</v>
      </c>
      <c r="AL78" s="1">
        <f t="shared" si="41"/>
        <v>1.7709341567976867E-7</v>
      </c>
      <c r="AM78" s="1">
        <f t="shared" si="41"/>
        <v>8.6876187494048398E-8</v>
      </c>
      <c r="AN78" s="1">
        <f t="shared" si="41"/>
        <v>3.2664102423648611E-8</v>
      </c>
      <c r="AO78" s="1">
        <f t="shared" si="41"/>
        <v>6.3988677573274727E-9</v>
      </c>
    </row>
    <row r="79" spans="1:41" x14ac:dyDescent="0.2">
      <c r="A79" s="2">
        <f t="shared" si="32"/>
        <v>0.11537143987667002</v>
      </c>
      <c r="B79" s="1">
        <f t="shared" ref="B79:AO79" si="42">IF(B$45&lt;=$P31,0,B57*$U$12)</f>
        <v>0</v>
      </c>
      <c r="C79" s="1">
        <f t="shared" si="42"/>
        <v>0</v>
      </c>
      <c r="D79" s="1">
        <f t="shared" si="42"/>
        <v>0</v>
      </c>
      <c r="E79" s="1">
        <f t="shared" si="42"/>
        <v>0</v>
      </c>
      <c r="F79" s="1">
        <f t="shared" si="42"/>
        <v>0</v>
      </c>
      <c r="G79" s="1">
        <f t="shared" si="42"/>
        <v>0</v>
      </c>
      <c r="H79" s="1">
        <f t="shared" si="42"/>
        <v>0</v>
      </c>
      <c r="I79" s="1">
        <f t="shared" si="42"/>
        <v>0</v>
      </c>
      <c r="J79" s="1">
        <f t="shared" si="42"/>
        <v>0</v>
      </c>
      <c r="K79" s="1">
        <f t="shared" si="42"/>
        <v>0</v>
      </c>
      <c r="L79" s="1">
        <f t="shared" si="42"/>
        <v>0</v>
      </c>
      <c r="M79" s="1">
        <f t="shared" si="42"/>
        <v>0</v>
      </c>
      <c r="N79" s="1">
        <f t="shared" si="42"/>
        <v>0</v>
      </c>
      <c r="O79" s="1">
        <f t="shared" si="42"/>
        <v>0</v>
      </c>
      <c r="P79" s="1">
        <f t="shared" si="42"/>
        <v>0</v>
      </c>
      <c r="Q79" s="1">
        <f t="shared" si="42"/>
        <v>0</v>
      </c>
      <c r="R79" s="1">
        <f t="shared" si="42"/>
        <v>0</v>
      </c>
      <c r="S79" s="1">
        <f t="shared" si="42"/>
        <v>0</v>
      </c>
      <c r="T79" s="1">
        <f t="shared" si="42"/>
        <v>0</v>
      </c>
      <c r="U79" s="1">
        <f t="shared" si="42"/>
        <v>0</v>
      </c>
      <c r="V79" s="1">
        <f t="shared" si="42"/>
        <v>0</v>
      </c>
      <c r="W79" s="1">
        <f t="shared" si="42"/>
        <v>0</v>
      </c>
      <c r="X79" s="1">
        <f t="shared" si="42"/>
        <v>1.7439587245096159E-5</v>
      </c>
      <c r="Y79" s="1">
        <f t="shared" si="42"/>
        <v>1.4022455298811421E-5</v>
      </c>
      <c r="Z79" s="1">
        <f t="shared" si="42"/>
        <v>1.1227756904291584E-5</v>
      </c>
      <c r="AA79" s="1">
        <f t="shared" si="42"/>
        <v>8.941159644208502E-6</v>
      </c>
      <c r="AB79" s="1">
        <f t="shared" si="42"/>
        <v>7.0713151386182121E-6</v>
      </c>
      <c r="AC79" s="1">
        <f t="shared" si="42"/>
        <v>5.5447239924072596E-6</v>
      </c>
      <c r="AD79" s="1">
        <f t="shared" si="42"/>
        <v>4.3018619011689907E-6</v>
      </c>
      <c r="AE79" s="1">
        <f t="shared" si="42"/>
        <v>3.2942290366024789E-6</v>
      </c>
      <c r="AF79" s="1">
        <f t="shared" si="42"/>
        <v>2.4820823301059359E-6</v>
      </c>
      <c r="AG79" s="1">
        <f t="shared" si="42"/>
        <v>1.8326775878551327E-6</v>
      </c>
      <c r="AH79" s="1">
        <f t="shared" si="42"/>
        <v>1.3188953704107827E-6</v>
      </c>
      <c r="AI79" s="1">
        <f t="shared" si="42"/>
        <v>9.1815766875994401E-7</v>
      </c>
      <c r="AJ79" s="1">
        <f t="shared" si="42"/>
        <v>6.115657820352414E-7</v>
      </c>
      <c r="AK79" s="1">
        <f t="shared" si="42"/>
        <v>3.8320607755337458E-7</v>
      </c>
      <c r="AL79" s="1">
        <f t="shared" si="42"/>
        <v>2.1958081987552353E-7</v>
      </c>
      <c r="AM79" s="1">
        <f t="shared" si="42"/>
        <v>1.091255352655463E-7</v>
      </c>
      <c r="AN79" s="1">
        <f t="shared" si="42"/>
        <v>4.1767093042794784E-8</v>
      </c>
      <c r="AO79" s="1">
        <f t="shared" si="42"/>
        <v>8.4287201418557284E-9</v>
      </c>
    </row>
    <row r="80" spans="1:41" x14ac:dyDescent="0.2">
      <c r="A80" s="2">
        <f t="shared" si="32"/>
        <v>0</v>
      </c>
      <c r="B80" s="1" t="e">
        <f t="shared" ref="B80:AO80" si="43">IF(B$45&lt;=$P32,0,B58*$U$12)</f>
        <v>#DIV/0!</v>
      </c>
      <c r="C80" s="1" t="e">
        <f t="shared" si="43"/>
        <v>#DIV/0!</v>
      </c>
      <c r="D80" s="1" t="e">
        <f t="shared" si="43"/>
        <v>#DIV/0!</v>
      </c>
      <c r="E80" s="1" t="e">
        <f t="shared" si="43"/>
        <v>#DIV/0!</v>
      </c>
      <c r="F80" s="1" t="e">
        <f t="shared" si="43"/>
        <v>#DIV/0!</v>
      </c>
      <c r="G80" s="1" t="e">
        <f t="shared" si="43"/>
        <v>#DIV/0!</v>
      </c>
      <c r="H80" s="1" t="e">
        <f t="shared" si="43"/>
        <v>#DIV/0!</v>
      </c>
      <c r="I80" s="1" t="e">
        <f t="shared" si="43"/>
        <v>#DIV/0!</v>
      </c>
      <c r="J80" s="1" t="e">
        <f t="shared" si="43"/>
        <v>#DIV/0!</v>
      </c>
      <c r="K80" s="1" t="e">
        <f t="shared" si="43"/>
        <v>#DIV/0!</v>
      </c>
      <c r="L80" s="1" t="e">
        <f t="shared" si="43"/>
        <v>#DIV/0!</v>
      </c>
      <c r="M80" s="1" t="e">
        <f t="shared" si="43"/>
        <v>#DIV/0!</v>
      </c>
      <c r="N80" s="1" t="e">
        <f t="shared" si="43"/>
        <v>#DIV/0!</v>
      </c>
      <c r="O80" s="1" t="e">
        <f t="shared" si="43"/>
        <v>#DIV/0!</v>
      </c>
      <c r="P80" s="1" t="e">
        <f t="shared" si="43"/>
        <v>#DIV/0!</v>
      </c>
      <c r="Q80" s="1" t="e">
        <f t="shared" si="43"/>
        <v>#DIV/0!</v>
      </c>
      <c r="R80" s="1" t="e">
        <f t="shared" si="43"/>
        <v>#DIV/0!</v>
      </c>
      <c r="S80" s="1" t="e">
        <f t="shared" si="43"/>
        <v>#DIV/0!</v>
      </c>
      <c r="T80" s="1" t="e">
        <f t="shared" si="43"/>
        <v>#DIV/0!</v>
      </c>
      <c r="U80" s="1" t="e">
        <f t="shared" si="43"/>
        <v>#DIV/0!</v>
      </c>
      <c r="V80" s="1" t="e">
        <f t="shared" si="43"/>
        <v>#DIV/0!</v>
      </c>
      <c r="W80" s="1" t="e">
        <f t="shared" si="43"/>
        <v>#DIV/0!</v>
      </c>
      <c r="X80" s="1" t="e">
        <f t="shared" si="43"/>
        <v>#DIV/0!</v>
      </c>
      <c r="Y80" s="1" t="e">
        <f t="shared" si="43"/>
        <v>#DIV/0!</v>
      </c>
      <c r="Z80" s="1" t="e">
        <f t="shared" si="43"/>
        <v>#DIV/0!</v>
      </c>
      <c r="AA80" s="1" t="e">
        <f t="shared" si="43"/>
        <v>#DIV/0!</v>
      </c>
      <c r="AB80" s="1" t="e">
        <f t="shared" si="43"/>
        <v>#DIV/0!</v>
      </c>
      <c r="AC80" s="1" t="e">
        <f t="shared" si="43"/>
        <v>#DIV/0!</v>
      </c>
      <c r="AD80" s="1" t="e">
        <f t="shared" si="43"/>
        <v>#DIV/0!</v>
      </c>
      <c r="AE80" s="1" t="e">
        <f t="shared" si="43"/>
        <v>#DIV/0!</v>
      </c>
      <c r="AF80" s="1" t="e">
        <f t="shared" si="43"/>
        <v>#DIV/0!</v>
      </c>
      <c r="AG80" s="1" t="e">
        <f t="shared" si="43"/>
        <v>#DIV/0!</v>
      </c>
      <c r="AH80" s="1" t="e">
        <f t="shared" si="43"/>
        <v>#DIV/0!</v>
      </c>
      <c r="AI80" s="1" t="e">
        <f t="shared" si="43"/>
        <v>#DIV/0!</v>
      </c>
      <c r="AJ80" s="1" t="e">
        <f t="shared" si="43"/>
        <v>#DIV/0!</v>
      </c>
      <c r="AK80" s="1" t="e">
        <f t="shared" si="43"/>
        <v>#DIV/0!</v>
      </c>
      <c r="AL80" s="1" t="e">
        <f t="shared" si="43"/>
        <v>#DIV/0!</v>
      </c>
      <c r="AM80" s="1" t="e">
        <f t="shared" si="43"/>
        <v>#DIV/0!</v>
      </c>
      <c r="AN80" s="1" t="e">
        <f t="shared" si="43"/>
        <v>#DIV/0!</v>
      </c>
      <c r="AO80" s="1" t="e">
        <f t="shared" si="43"/>
        <v>#DIV/0!</v>
      </c>
    </row>
    <row r="81" spans="1:41" x14ac:dyDescent="0.2">
      <c r="A81" s="2">
        <f t="shared" si="32"/>
        <v>0</v>
      </c>
      <c r="B81" s="1" t="e">
        <f t="shared" ref="B81:AO81" si="44">IF(B$45&lt;=$P33,0,B59*$U$12)</f>
        <v>#DIV/0!</v>
      </c>
      <c r="C81" s="1" t="e">
        <f t="shared" si="44"/>
        <v>#DIV/0!</v>
      </c>
      <c r="D81" s="1" t="e">
        <f t="shared" si="44"/>
        <v>#DIV/0!</v>
      </c>
      <c r="E81" s="1" t="e">
        <f t="shared" si="44"/>
        <v>#DIV/0!</v>
      </c>
      <c r="F81" s="1" t="e">
        <f t="shared" si="44"/>
        <v>#DIV/0!</v>
      </c>
      <c r="G81" s="1" t="e">
        <f t="shared" si="44"/>
        <v>#DIV/0!</v>
      </c>
      <c r="H81" s="1" t="e">
        <f t="shared" si="44"/>
        <v>#DIV/0!</v>
      </c>
      <c r="I81" s="1" t="e">
        <f t="shared" si="44"/>
        <v>#DIV/0!</v>
      </c>
      <c r="J81" s="1" t="e">
        <f t="shared" si="44"/>
        <v>#DIV/0!</v>
      </c>
      <c r="K81" s="1" t="e">
        <f t="shared" si="44"/>
        <v>#DIV/0!</v>
      </c>
      <c r="L81" s="1" t="e">
        <f t="shared" si="44"/>
        <v>#DIV/0!</v>
      </c>
      <c r="M81" s="1" t="e">
        <f t="shared" si="44"/>
        <v>#DIV/0!</v>
      </c>
      <c r="N81" s="1" t="e">
        <f t="shared" si="44"/>
        <v>#DIV/0!</v>
      </c>
      <c r="O81" s="1" t="e">
        <f t="shared" si="44"/>
        <v>#DIV/0!</v>
      </c>
      <c r="P81" s="1" t="e">
        <f t="shared" si="44"/>
        <v>#DIV/0!</v>
      </c>
      <c r="Q81" s="1" t="e">
        <f t="shared" si="44"/>
        <v>#DIV/0!</v>
      </c>
      <c r="R81" s="1" t="e">
        <f t="shared" si="44"/>
        <v>#DIV/0!</v>
      </c>
      <c r="S81" s="1" t="e">
        <f t="shared" si="44"/>
        <v>#DIV/0!</v>
      </c>
      <c r="T81" s="1" t="e">
        <f t="shared" si="44"/>
        <v>#DIV/0!</v>
      </c>
      <c r="U81" s="1" t="e">
        <f t="shared" si="44"/>
        <v>#DIV/0!</v>
      </c>
      <c r="V81" s="1" t="e">
        <f t="shared" si="44"/>
        <v>#DIV/0!</v>
      </c>
      <c r="W81" s="1" t="e">
        <f t="shared" si="44"/>
        <v>#DIV/0!</v>
      </c>
      <c r="X81" s="1" t="e">
        <f t="shared" si="44"/>
        <v>#DIV/0!</v>
      </c>
      <c r="Y81" s="1" t="e">
        <f t="shared" si="44"/>
        <v>#DIV/0!</v>
      </c>
      <c r="Z81" s="1" t="e">
        <f t="shared" si="44"/>
        <v>#DIV/0!</v>
      </c>
      <c r="AA81" s="1" t="e">
        <f t="shared" si="44"/>
        <v>#DIV/0!</v>
      </c>
      <c r="AB81" s="1" t="e">
        <f t="shared" si="44"/>
        <v>#DIV/0!</v>
      </c>
      <c r="AC81" s="1" t="e">
        <f t="shared" si="44"/>
        <v>#DIV/0!</v>
      </c>
      <c r="AD81" s="1" t="e">
        <f t="shared" si="44"/>
        <v>#DIV/0!</v>
      </c>
      <c r="AE81" s="1" t="e">
        <f t="shared" si="44"/>
        <v>#DIV/0!</v>
      </c>
      <c r="AF81" s="1" t="e">
        <f t="shared" si="44"/>
        <v>#DIV/0!</v>
      </c>
      <c r="AG81" s="1" t="e">
        <f t="shared" si="44"/>
        <v>#DIV/0!</v>
      </c>
      <c r="AH81" s="1" t="e">
        <f t="shared" si="44"/>
        <v>#DIV/0!</v>
      </c>
      <c r="AI81" s="1" t="e">
        <f t="shared" si="44"/>
        <v>#DIV/0!</v>
      </c>
      <c r="AJ81" s="1" t="e">
        <f t="shared" si="44"/>
        <v>#DIV/0!</v>
      </c>
      <c r="AK81" s="1" t="e">
        <f t="shared" si="44"/>
        <v>#DIV/0!</v>
      </c>
      <c r="AL81" s="1" t="e">
        <f t="shared" si="44"/>
        <v>#DIV/0!</v>
      </c>
      <c r="AM81" s="1" t="e">
        <f t="shared" si="44"/>
        <v>#DIV/0!</v>
      </c>
      <c r="AN81" s="1" t="e">
        <f t="shared" si="44"/>
        <v>#DIV/0!</v>
      </c>
      <c r="AO81" s="1" t="e">
        <f t="shared" si="44"/>
        <v>#DIV/0!</v>
      </c>
    </row>
    <row r="82" spans="1:41" x14ac:dyDescent="0.2">
      <c r="A82" s="2">
        <f t="shared" si="32"/>
        <v>0</v>
      </c>
      <c r="B82" s="1" t="e">
        <f t="shared" ref="B82:AO82" si="45">IF(B$45&lt;=$P34,0,B60*$U$12)</f>
        <v>#DIV/0!</v>
      </c>
      <c r="C82" s="1" t="e">
        <f t="shared" si="45"/>
        <v>#DIV/0!</v>
      </c>
      <c r="D82" s="1" t="e">
        <f t="shared" si="45"/>
        <v>#DIV/0!</v>
      </c>
      <c r="E82" s="1" t="e">
        <f t="shared" si="45"/>
        <v>#DIV/0!</v>
      </c>
      <c r="F82" s="1" t="e">
        <f t="shared" si="45"/>
        <v>#DIV/0!</v>
      </c>
      <c r="G82" s="1" t="e">
        <f t="shared" si="45"/>
        <v>#DIV/0!</v>
      </c>
      <c r="H82" s="1" t="e">
        <f t="shared" si="45"/>
        <v>#DIV/0!</v>
      </c>
      <c r="I82" s="1" t="e">
        <f t="shared" si="45"/>
        <v>#DIV/0!</v>
      </c>
      <c r="J82" s="1" t="e">
        <f t="shared" si="45"/>
        <v>#DIV/0!</v>
      </c>
      <c r="K82" s="1" t="e">
        <f t="shared" si="45"/>
        <v>#DIV/0!</v>
      </c>
      <c r="L82" s="1" t="e">
        <f t="shared" si="45"/>
        <v>#DIV/0!</v>
      </c>
      <c r="M82" s="1" t="e">
        <f t="shared" si="45"/>
        <v>#DIV/0!</v>
      </c>
      <c r="N82" s="1" t="e">
        <f t="shared" si="45"/>
        <v>#DIV/0!</v>
      </c>
      <c r="O82" s="1" t="e">
        <f t="shared" si="45"/>
        <v>#DIV/0!</v>
      </c>
      <c r="P82" s="1" t="e">
        <f t="shared" si="45"/>
        <v>#DIV/0!</v>
      </c>
      <c r="Q82" s="1" t="e">
        <f t="shared" si="45"/>
        <v>#DIV/0!</v>
      </c>
      <c r="R82" s="1" t="e">
        <f t="shared" si="45"/>
        <v>#DIV/0!</v>
      </c>
      <c r="S82" s="1" t="e">
        <f t="shared" si="45"/>
        <v>#DIV/0!</v>
      </c>
      <c r="T82" s="1" t="e">
        <f t="shared" si="45"/>
        <v>#DIV/0!</v>
      </c>
      <c r="U82" s="1" t="e">
        <f t="shared" si="45"/>
        <v>#DIV/0!</v>
      </c>
      <c r="V82" s="1" t="e">
        <f t="shared" si="45"/>
        <v>#DIV/0!</v>
      </c>
      <c r="W82" s="1" t="e">
        <f t="shared" si="45"/>
        <v>#DIV/0!</v>
      </c>
      <c r="X82" s="1" t="e">
        <f t="shared" si="45"/>
        <v>#DIV/0!</v>
      </c>
      <c r="Y82" s="1" t="e">
        <f t="shared" si="45"/>
        <v>#DIV/0!</v>
      </c>
      <c r="Z82" s="1" t="e">
        <f t="shared" si="45"/>
        <v>#DIV/0!</v>
      </c>
      <c r="AA82" s="1" t="e">
        <f t="shared" si="45"/>
        <v>#DIV/0!</v>
      </c>
      <c r="AB82" s="1" t="e">
        <f t="shared" si="45"/>
        <v>#DIV/0!</v>
      </c>
      <c r="AC82" s="1" t="e">
        <f t="shared" si="45"/>
        <v>#DIV/0!</v>
      </c>
      <c r="AD82" s="1" t="e">
        <f t="shared" si="45"/>
        <v>#DIV/0!</v>
      </c>
      <c r="AE82" s="1" t="e">
        <f t="shared" si="45"/>
        <v>#DIV/0!</v>
      </c>
      <c r="AF82" s="1" t="e">
        <f t="shared" si="45"/>
        <v>#DIV/0!</v>
      </c>
      <c r="AG82" s="1" t="e">
        <f t="shared" si="45"/>
        <v>#DIV/0!</v>
      </c>
      <c r="AH82" s="1" t="e">
        <f t="shared" si="45"/>
        <v>#DIV/0!</v>
      </c>
      <c r="AI82" s="1" t="e">
        <f t="shared" si="45"/>
        <v>#DIV/0!</v>
      </c>
      <c r="AJ82" s="1" t="e">
        <f t="shared" si="45"/>
        <v>#DIV/0!</v>
      </c>
      <c r="AK82" s="1" t="e">
        <f t="shared" si="45"/>
        <v>#DIV/0!</v>
      </c>
      <c r="AL82" s="1" t="e">
        <f t="shared" si="45"/>
        <v>#DIV/0!</v>
      </c>
      <c r="AM82" s="1" t="e">
        <f t="shared" si="45"/>
        <v>#DIV/0!</v>
      </c>
      <c r="AN82" s="1" t="e">
        <f t="shared" si="45"/>
        <v>#DIV/0!</v>
      </c>
      <c r="AO82" s="1" t="e">
        <f t="shared" si="45"/>
        <v>#DIV/0!</v>
      </c>
    </row>
    <row r="83" spans="1:41" x14ac:dyDescent="0.2">
      <c r="A83" s="2">
        <f t="shared" si="32"/>
        <v>0</v>
      </c>
      <c r="B83" s="1" t="e">
        <f t="shared" ref="B83:AO83" si="46">IF(B$45&lt;=$P35,0,B61*$U$12)</f>
        <v>#DIV/0!</v>
      </c>
      <c r="C83" s="1" t="e">
        <f t="shared" si="46"/>
        <v>#DIV/0!</v>
      </c>
      <c r="D83" s="1" t="e">
        <f t="shared" si="46"/>
        <v>#DIV/0!</v>
      </c>
      <c r="E83" s="1" t="e">
        <f t="shared" si="46"/>
        <v>#DIV/0!</v>
      </c>
      <c r="F83" s="1" t="e">
        <f t="shared" si="46"/>
        <v>#DIV/0!</v>
      </c>
      <c r="G83" s="1" t="e">
        <f t="shared" si="46"/>
        <v>#DIV/0!</v>
      </c>
      <c r="H83" s="1" t="e">
        <f t="shared" si="46"/>
        <v>#DIV/0!</v>
      </c>
      <c r="I83" s="1" t="e">
        <f t="shared" si="46"/>
        <v>#DIV/0!</v>
      </c>
      <c r="J83" s="1" t="e">
        <f t="shared" si="46"/>
        <v>#DIV/0!</v>
      </c>
      <c r="K83" s="1" t="e">
        <f t="shared" si="46"/>
        <v>#DIV/0!</v>
      </c>
      <c r="L83" s="1" t="e">
        <f t="shared" si="46"/>
        <v>#DIV/0!</v>
      </c>
      <c r="M83" s="1" t="e">
        <f t="shared" si="46"/>
        <v>#DIV/0!</v>
      </c>
      <c r="N83" s="1" t="e">
        <f t="shared" si="46"/>
        <v>#DIV/0!</v>
      </c>
      <c r="O83" s="1" t="e">
        <f t="shared" si="46"/>
        <v>#DIV/0!</v>
      </c>
      <c r="P83" s="1" t="e">
        <f t="shared" si="46"/>
        <v>#DIV/0!</v>
      </c>
      <c r="Q83" s="1" t="e">
        <f t="shared" si="46"/>
        <v>#DIV/0!</v>
      </c>
      <c r="R83" s="1" t="e">
        <f t="shared" si="46"/>
        <v>#DIV/0!</v>
      </c>
      <c r="S83" s="1" t="e">
        <f t="shared" si="46"/>
        <v>#DIV/0!</v>
      </c>
      <c r="T83" s="1" t="e">
        <f t="shared" si="46"/>
        <v>#DIV/0!</v>
      </c>
      <c r="U83" s="1" t="e">
        <f t="shared" si="46"/>
        <v>#DIV/0!</v>
      </c>
      <c r="V83" s="1" t="e">
        <f t="shared" si="46"/>
        <v>#DIV/0!</v>
      </c>
      <c r="W83" s="1" t="e">
        <f t="shared" si="46"/>
        <v>#DIV/0!</v>
      </c>
      <c r="X83" s="1" t="e">
        <f t="shared" si="46"/>
        <v>#DIV/0!</v>
      </c>
      <c r="Y83" s="1" t="e">
        <f t="shared" si="46"/>
        <v>#DIV/0!</v>
      </c>
      <c r="Z83" s="1" t="e">
        <f t="shared" si="46"/>
        <v>#DIV/0!</v>
      </c>
      <c r="AA83" s="1" t="e">
        <f t="shared" si="46"/>
        <v>#DIV/0!</v>
      </c>
      <c r="AB83" s="1" t="e">
        <f t="shared" si="46"/>
        <v>#DIV/0!</v>
      </c>
      <c r="AC83" s="1" t="e">
        <f t="shared" si="46"/>
        <v>#DIV/0!</v>
      </c>
      <c r="AD83" s="1" t="e">
        <f t="shared" si="46"/>
        <v>#DIV/0!</v>
      </c>
      <c r="AE83" s="1" t="e">
        <f t="shared" si="46"/>
        <v>#DIV/0!</v>
      </c>
      <c r="AF83" s="1" t="e">
        <f t="shared" si="46"/>
        <v>#DIV/0!</v>
      </c>
      <c r="AG83" s="1" t="e">
        <f t="shared" si="46"/>
        <v>#DIV/0!</v>
      </c>
      <c r="AH83" s="1" t="e">
        <f t="shared" si="46"/>
        <v>#DIV/0!</v>
      </c>
      <c r="AI83" s="1" t="e">
        <f t="shared" si="46"/>
        <v>#DIV/0!</v>
      </c>
      <c r="AJ83" s="1" t="e">
        <f t="shared" si="46"/>
        <v>#DIV/0!</v>
      </c>
      <c r="AK83" s="1" t="e">
        <f t="shared" si="46"/>
        <v>#DIV/0!</v>
      </c>
      <c r="AL83" s="1" t="e">
        <f t="shared" si="46"/>
        <v>#DIV/0!</v>
      </c>
      <c r="AM83" s="1" t="e">
        <f t="shared" si="46"/>
        <v>#DIV/0!</v>
      </c>
      <c r="AN83" s="1" t="e">
        <f t="shared" si="46"/>
        <v>#DIV/0!</v>
      </c>
      <c r="AO83" s="1" t="e">
        <f t="shared" si="46"/>
        <v>#DIV/0!</v>
      </c>
    </row>
    <row r="84" spans="1:41" x14ac:dyDescent="0.2">
      <c r="A84" s="2">
        <f t="shared" si="32"/>
        <v>0</v>
      </c>
      <c r="B84" s="1" t="e">
        <f t="shared" ref="B84:AO84" si="47">IF(B$45&lt;=$P36,0,B62*$U$12)</f>
        <v>#DIV/0!</v>
      </c>
      <c r="C84" s="1" t="e">
        <f t="shared" si="47"/>
        <v>#DIV/0!</v>
      </c>
      <c r="D84" s="1" t="e">
        <f t="shared" si="47"/>
        <v>#DIV/0!</v>
      </c>
      <c r="E84" s="1" t="e">
        <f t="shared" si="47"/>
        <v>#DIV/0!</v>
      </c>
      <c r="F84" s="1" t="e">
        <f t="shared" si="47"/>
        <v>#DIV/0!</v>
      </c>
      <c r="G84" s="1" t="e">
        <f t="shared" si="47"/>
        <v>#DIV/0!</v>
      </c>
      <c r="H84" s="1" t="e">
        <f t="shared" si="47"/>
        <v>#DIV/0!</v>
      </c>
      <c r="I84" s="1" t="e">
        <f t="shared" si="47"/>
        <v>#DIV/0!</v>
      </c>
      <c r="J84" s="1" t="e">
        <f t="shared" si="47"/>
        <v>#DIV/0!</v>
      </c>
      <c r="K84" s="1" t="e">
        <f t="shared" si="47"/>
        <v>#DIV/0!</v>
      </c>
      <c r="L84" s="1" t="e">
        <f t="shared" si="47"/>
        <v>#DIV/0!</v>
      </c>
      <c r="M84" s="1" t="e">
        <f t="shared" si="47"/>
        <v>#DIV/0!</v>
      </c>
      <c r="N84" s="1" t="e">
        <f t="shared" si="47"/>
        <v>#DIV/0!</v>
      </c>
      <c r="O84" s="1" t="e">
        <f t="shared" si="47"/>
        <v>#DIV/0!</v>
      </c>
      <c r="P84" s="1" t="e">
        <f t="shared" si="47"/>
        <v>#DIV/0!</v>
      </c>
      <c r="Q84" s="1" t="e">
        <f t="shared" si="47"/>
        <v>#DIV/0!</v>
      </c>
      <c r="R84" s="1" t="e">
        <f t="shared" si="47"/>
        <v>#DIV/0!</v>
      </c>
      <c r="S84" s="1" t="e">
        <f t="shared" si="47"/>
        <v>#DIV/0!</v>
      </c>
      <c r="T84" s="1" t="e">
        <f t="shared" si="47"/>
        <v>#DIV/0!</v>
      </c>
      <c r="U84" s="1" t="e">
        <f t="shared" si="47"/>
        <v>#DIV/0!</v>
      </c>
      <c r="V84" s="1" t="e">
        <f t="shared" si="47"/>
        <v>#DIV/0!</v>
      </c>
      <c r="W84" s="1" t="e">
        <f t="shared" si="47"/>
        <v>#DIV/0!</v>
      </c>
      <c r="X84" s="1" t="e">
        <f t="shared" si="47"/>
        <v>#DIV/0!</v>
      </c>
      <c r="Y84" s="1" t="e">
        <f t="shared" si="47"/>
        <v>#DIV/0!</v>
      </c>
      <c r="Z84" s="1" t="e">
        <f t="shared" si="47"/>
        <v>#DIV/0!</v>
      </c>
      <c r="AA84" s="1" t="e">
        <f t="shared" si="47"/>
        <v>#DIV/0!</v>
      </c>
      <c r="AB84" s="1" t="e">
        <f t="shared" si="47"/>
        <v>#DIV/0!</v>
      </c>
      <c r="AC84" s="1" t="e">
        <f t="shared" si="47"/>
        <v>#DIV/0!</v>
      </c>
      <c r="AD84" s="1" t="e">
        <f t="shared" si="47"/>
        <v>#DIV/0!</v>
      </c>
      <c r="AE84" s="1" t="e">
        <f t="shared" si="47"/>
        <v>#DIV/0!</v>
      </c>
      <c r="AF84" s="1" t="e">
        <f t="shared" si="47"/>
        <v>#DIV/0!</v>
      </c>
      <c r="AG84" s="1" t="e">
        <f t="shared" si="47"/>
        <v>#DIV/0!</v>
      </c>
      <c r="AH84" s="1" t="e">
        <f t="shared" si="47"/>
        <v>#DIV/0!</v>
      </c>
      <c r="AI84" s="1" t="e">
        <f t="shared" si="47"/>
        <v>#DIV/0!</v>
      </c>
      <c r="AJ84" s="1" t="e">
        <f t="shared" si="47"/>
        <v>#DIV/0!</v>
      </c>
      <c r="AK84" s="1" t="e">
        <f t="shared" si="47"/>
        <v>#DIV/0!</v>
      </c>
      <c r="AL84" s="1" t="e">
        <f t="shared" si="47"/>
        <v>#DIV/0!</v>
      </c>
      <c r="AM84" s="1" t="e">
        <f t="shared" si="47"/>
        <v>#DIV/0!</v>
      </c>
      <c r="AN84" s="1" t="e">
        <f t="shared" si="47"/>
        <v>#DIV/0!</v>
      </c>
      <c r="AO84" s="1" t="e">
        <f t="shared" si="47"/>
        <v>#DIV/0!</v>
      </c>
    </row>
    <row r="85" spans="1:41" x14ac:dyDescent="0.2">
      <c r="A85" s="2">
        <f t="shared" si="32"/>
        <v>0</v>
      </c>
      <c r="B85" s="1" t="e">
        <f t="shared" ref="B85:AO85" si="48">IF(B$45&lt;=$P37,0,B63*$U$12)</f>
        <v>#DIV/0!</v>
      </c>
      <c r="C85" s="1" t="e">
        <f t="shared" si="48"/>
        <v>#DIV/0!</v>
      </c>
      <c r="D85" s="1" t="e">
        <f t="shared" si="48"/>
        <v>#DIV/0!</v>
      </c>
      <c r="E85" s="1" t="e">
        <f t="shared" si="48"/>
        <v>#DIV/0!</v>
      </c>
      <c r="F85" s="1" t="e">
        <f t="shared" si="48"/>
        <v>#DIV/0!</v>
      </c>
      <c r="G85" s="1" t="e">
        <f t="shared" si="48"/>
        <v>#DIV/0!</v>
      </c>
      <c r="H85" s="1" t="e">
        <f t="shared" si="48"/>
        <v>#DIV/0!</v>
      </c>
      <c r="I85" s="1" t="e">
        <f t="shared" si="48"/>
        <v>#DIV/0!</v>
      </c>
      <c r="J85" s="1" t="e">
        <f t="shared" si="48"/>
        <v>#DIV/0!</v>
      </c>
      <c r="K85" s="1" t="e">
        <f t="shared" si="48"/>
        <v>#DIV/0!</v>
      </c>
      <c r="L85" s="1" t="e">
        <f t="shared" si="48"/>
        <v>#DIV/0!</v>
      </c>
      <c r="M85" s="1" t="e">
        <f t="shared" si="48"/>
        <v>#DIV/0!</v>
      </c>
      <c r="N85" s="1" t="e">
        <f t="shared" si="48"/>
        <v>#DIV/0!</v>
      </c>
      <c r="O85" s="1" t="e">
        <f t="shared" si="48"/>
        <v>#DIV/0!</v>
      </c>
      <c r="P85" s="1" t="e">
        <f t="shared" si="48"/>
        <v>#DIV/0!</v>
      </c>
      <c r="Q85" s="1" t="e">
        <f t="shared" si="48"/>
        <v>#DIV/0!</v>
      </c>
      <c r="R85" s="1" t="e">
        <f t="shared" si="48"/>
        <v>#DIV/0!</v>
      </c>
      <c r="S85" s="1" t="e">
        <f t="shared" si="48"/>
        <v>#DIV/0!</v>
      </c>
      <c r="T85" s="1" t="e">
        <f t="shared" si="48"/>
        <v>#DIV/0!</v>
      </c>
      <c r="U85" s="1" t="e">
        <f t="shared" si="48"/>
        <v>#DIV/0!</v>
      </c>
      <c r="V85" s="1" t="e">
        <f t="shared" si="48"/>
        <v>#DIV/0!</v>
      </c>
      <c r="W85" s="1" t="e">
        <f t="shared" si="48"/>
        <v>#DIV/0!</v>
      </c>
      <c r="X85" s="1" t="e">
        <f t="shared" si="48"/>
        <v>#DIV/0!</v>
      </c>
      <c r="Y85" s="1" t="e">
        <f t="shared" si="48"/>
        <v>#DIV/0!</v>
      </c>
      <c r="Z85" s="1" t="e">
        <f t="shared" si="48"/>
        <v>#DIV/0!</v>
      </c>
      <c r="AA85" s="1" t="e">
        <f t="shared" si="48"/>
        <v>#DIV/0!</v>
      </c>
      <c r="AB85" s="1" t="e">
        <f t="shared" si="48"/>
        <v>#DIV/0!</v>
      </c>
      <c r="AC85" s="1" t="e">
        <f t="shared" si="48"/>
        <v>#DIV/0!</v>
      </c>
      <c r="AD85" s="1" t="e">
        <f t="shared" si="48"/>
        <v>#DIV/0!</v>
      </c>
      <c r="AE85" s="1" t="e">
        <f t="shared" si="48"/>
        <v>#DIV/0!</v>
      </c>
      <c r="AF85" s="1" t="e">
        <f t="shared" si="48"/>
        <v>#DIV/0!</v>
      </c>
      <c r="AG85" s="1" t="e">
        <f t="shared" si="48"/>
        <v>#DIV/0!</v>
      </c>
      <c r="AH85" s="1" t="e">
        <f t="shared" si="48"/>
        <v>#DIV/0!</v>
      </c>
      <c r="AI85" s="1" t="e">
        <f t="shared" si="48"/>
        <v>#DIV/0!</v>
      </c>
      <c r="AJ85" s="1" t="e">
        <f t="shared" si="48"/>
        <v>#DIV/0!</v>
      </c>
      <c r="AK85" s="1" t="e">
        <f t="shared" si="48"/>
        <v>#DIV/0!</v>
      </c>
      <c r="AL85" s="1" t="e">
        <f t="shared" si="48"/>
        <v>#DIV/0!</v>
      </c>
      <c r="AM85" s="1" t="e">
        <f t="shared" si="48"/>
        <v>#DIV/0!</v>
      </c>
      <c r="AN85" s="1" t="e">
        <f t="shared" si="48"/>
        <v>#DIV/0!</v>
      </c>
      <c r="AO85" s="1" t="e">
        <f t="shared" si="48"/>
        <v>#DIV/0!</v>
      </c>
    </row>
    <row r="86" spans="1:41" x14ac:dyDescent="0.2">
      <c r="A86" s="2">
        <f t="shared" si="32"/>
        <v>0</v>
      </c>
      <c r="B86" s="1" t="e">
        <f t="shared" ref="B86:AO86" si="49">IF(B$45&lt;=$P38,0,B64*$U$12)</f>
        <v>#DIV/0!</v>
      </c>
      <c r="C86" s="1" t="e">
        <f t="shared" si="49"/>
        <v>#DIV/0!</v>
      </c>
      <c r="D86" s="1" t="e">
        <f t="shared" si="49"/>
        <v>#DIV/0!</v>
      </c>
      <c r="E86" s="1" t="e">
        <f t="shared" si="49"/>
        <v>#DIV/0!</v>
      </c>
      <c r="F86" s="1" t="e">
        <f t="shared" si="49"/>
        <v>#DIV/0!</v>
      </c>
      <c r="G86" s="1" t="e">
        <f t="shared" si="49"/>
        <v>#DIV/0!</v>
      </c>
      <c r="H86" s="1" t="e">
        <f t="shared" si="49"/>
        <v>#DIV/0!</v>
      </c>
      <c r="I86" s="1" t="e">
        <f t="shared" si="49"/>
        <v>#DIV/0!</v>
      </c>
      <c r="J86" s="1" t="e">
        <f t="shared" si="49"/>
        <v>#DIV/0!</v>
      </c>
      <c r="K86" s="1" t="e">
        <f t="shared" si="49"/>
        <v>#DIV/0!</v>
      </c>
      <c r="L86" s="1" t="e">
        <f t="shared" si="49"/>
        <v>#DIV/0!</v>
      </c>
      <c r="M86" s="1" t="e">
        <f t="shared" si="49"/>
        <v>#DIV/0!</v>
      </c>
      <c r="N86" s="1" t="e">
        <f t="shared" si="49"/>
        <v>#DIV/0!</v>
      </c>
      <c r="O86" s="1" t="e">
        <f t="shared" si="49"/>
        <v>#DIV/0!</v>
      </c>
      <c r="P86" s="1" t="e">
        <f t="shared" si="49"/>
        <v>#DIV/0!</v>
      </c>
      <c r="Q86" s="1" t="e">
        <f t="shared" si="49"/>
        <v>#DIV/0!</v>
      </c>
      <c r="R86" s="1" t="e">
        <f t="shared" si="49"/>
        <v>#DIV/0!</v>
      </c>
      <c r="S86" s="1" t="e">
        <f t="shared" si="49"/>
        <v>#DIV/0!</v>
      </c>
      <c r="T86" s="1" t="e">
        <f t="shared" si="49"/>
        <v>#DIV/0!</v>
      </c>
      <c r="U86" s="1" t="e">
        <f t="shared" si="49"/>
        <v>#DIV/0!</v>
      </c>
      <c r="V86" s="1" t="e">
        <f t="shared" si="49"/>
        <v>#DIV/0!</v>
      </c>
      <c r="W86" s="1" t="e">
        <f t="shared" si="49"/>
        <v>#DIV/0!</v>
      </c>
      <c r="X86" s="1" t="e">
        <f t="shared" si="49"/>
        <v>#DIV/0!</v>
      </c>
      <c r="Y86" s="1" t="e">
        <f t="shared" si="49"/>
        <v>#DIV/0!</v>
      </c>
      <c r="Z86" s="1" t="e">
        <f t="shared" si="49"/>
        <v>#DIV/0!</v>
      </c>
      <c r="AA86" s="1" t="e">
        <f t="shared" si="49"/>
        <v>#DIV/0!</v>
      </c>
      <c r="AB86" s="1" t="e">
        <f t="shared" si="49"/>
        <v>#DIV/0!</v>
      </c>
      <c r="AC86" s="1" t="e">
        <f t="shared" si="49"/>
        <v>#DIV/0!</v>
      </c>
      <c r="AD86" s="1" t="e">
        <f t="shared" si="49"/>
        <v>#DIV/0!</v>
      </c>
      <c r="AE86" s="1" t="e">
        <f t="shared" si="49"/>
        <v>#DIV/0!</v>
      </c>
      <c r="AF86" s="1" t="e">
        <f t="shared" si="49"/>
        <v>#DIV/0!</v>
      </c>
      <c r="AG86" s="1" t="e">
        <f t="shared" si="49"/>
        <v>#DIV/0!</v>
      </c>
      <c r="AH86" s="1" t="e">
        <f t="shared" si="49"/>
        <v>#DIV/0!</v>
      </c>
      <c r="AI86" s="1" t="e">
        <f t="shared" si="49"/>
        <v>#DIV/0!</v>
      </c>
      <c r="AJ86" s="1" t="e">
        <f t="shared" si="49"/>
        <v>#DIV/0!</v>
      </c>
      <c r="AK86" s="1" t="e">
        <f t="shared" si="49"/>
        <v>#DIV/0!</v>
      </c>
      <c r="AL86" s="1" t="e">
        <f t="shared" si="49"/>
        <v>#DIV/0!</v>
      </c>
      <c r="AM86" s="1" t="e">
        <f t="shared" si="49"/>
        <v>#DIV/0!</v>
      </c>
      <c r="AN86" s="1" t="e">
        <f t="shared" si="49"/>
        <v>#DIV/0!</v>
      </c>
      <c r="AO86" s="1" t="e">
        <f t="shared" si="49"/>
        <v>#DIV/0!</v>
      </c>
    </row>
    <row r="87" spans="1:41" x14ac:dyDescent="0.2">
      <c r="A87" s="2">
        <f t="shared" si="32"/>
        <v>0</v>
      </c>
      <c r="B87" s="1" t="e">
        <f t="shared" ref="B87:AO87" si="50">IF(B$45&lt;=$P39,0,B65*$U$12)</f>
        <v>#DIV/0!</v>
      </c>
      <c r="C87" s="1" t="e">
        <f t="shared" si="50"/>
        <v>#DIV/0!</v>
      </c>
      <c r="D87" s="1" t="e">
        <f t="shared" si="50"/>
        <v>#DIV/0!</v>
      </c>
      <c r="E87" s="1" t="e">
        <f t="shared" si="50"/>
        <v>#DIV/0!</v>
      </c>
      <c r="F87" s="1" t="e">
        <f t="shared" si="50"/>
        <v>#DIV/0!</v>
      </c>
      <c r="G87" s="1" t="e">
        <f t="shared" si="50"/>
        <v>#DIV/0!</v>
      </c>
      <c r="H87" s="1" t="e">
        <f t="shared" si="50"/>
        <v>#DIV/0!</v>
      </c>
      <c r="I87" s="1" t="e">
        <f t="shared" si="50"/>
        <v>#DIV/0!</v>
      </c>
      <c r="J87" s="1" t="e">
        <f t="shared" si="50"/>
        <v>#DIV/0!</v>
      </c>
      <c r="K87" s="1" t="e">
        <f t="shared" si="50"/>
        <v>#DIV/0!</v>
      </c>
      <c r="L87" s="1" t="e">
        <f t="shared" si="50"/>
        <v>#DIV/0!</v>
      </c>
      <c r="M87" s="1" t="e">
        <f t="shared" si="50"/>
        <v>#DIV/0!</v>
      </c>
      <c r="N87" s="1" t="e">
        <f t="shared" si="50"/>
        <v>#DIV/0!</v>
      </c>
      <c r="O87" s="1" t="e">
        <f t="shared" si="50"/>
        <v>#DIV/0!</v>
      </c>
      <c r="P87" s="1" t="e">
        <f t="shared" si="50"/>
        <v>#DIV/0!</v>
      </c>
      <c r="Q87" s="1" t="e">
        <f t="shared" si="50"/>
        <v>#DIV/0!</v>
      </c>
      <c r="R87" s="1" t="e">
        <f t="shared" si="50"/>
        <v>#DIV/0!</v>
      </c>
      <c r="S87" s="1" t="e">
        <f t="shared" si="50"/>
        <v>#DIV/0!</v>
      </c>
      <c r="T87" s="1" t="e">
        <f t="shared" si="50"/>
        <v>#DIV/0!</v>
      </c>
      <c r="U87" s="1" t="e">
        <f t="shared" si="50"/>
        <v>#DIV/0!</v>
      </c>
      <c r="V87" s="1" t="e">
        <f t="shared" si="50"/>
        <v>#DIV/0!</v>
      </c>
      <c r="W87" s="1" t="e">
        <f t="shared" si="50"/>
        <v>#DIV/0!</v>
      </c>
      <c r="X87" s="1" t="e">
        <f t="shared" si="50"/>
        <v>#DIV/0!</v>
      </c>
      <c r="Y87" s="1" t="e">
        <f t="shared" si="50"/>
        <v>#DIV/0!</v>
      </c>
      <c r="Z87" s="1" t="e">
        <f t="shared" si="50"/>
        <v>#DIV/0!</v>
      </c>
      <c r="AA87" s="1" t="e">
        <f t="shared" si="50"/>
        <v>#DIV/0!</v>
      </c>
      <c r="AB87" s="1" t="e">
        <f t="shared" si="50"/>
        <v>#DIV/0!</v>
      </c>
      <c r="AC87" s="1" t="e">
        <f t="shared" si="50"/>
        <v>#DIV/0!</v>
      </c>
      <c r="AD87" s="1" t="e">
        <f t="shared" si="50"/>
        <v>#DIV/0!</v>
      </c>
      <c r="AE87" s="1" t="e">
        <f t="shared" si="50"/>
        <v>#DIV/0!</v>
      </c>
      <c r="AF87" s="1" t="e">
        <f t="shared" si="50"/>
        <v>#DIV/0!</v>
      </c>
      <c r="AG87" s="1" t="e">
        <f t="shared" si="50"/>
        <v>#DIV/0!</v>
      </c>
      <c r="AH87" s="1" t="e">
        <f t="shared" si="50"/>
        <v>#DIV/0!</v>
      </c>
      <c r="AI87" s="1" t="e">
        <f t="shared" si="50"/>
        <v>#DIV/0!</v>
      </c>
      <c r="AJ87" s="1" t="e">
        <f t="shared" si="50"/>
        <v>#DIV/0!</v>
      </c>
      <c r="AK87" s="1" t="e">
        <f t="shared" si="50"/>
        <v>#DIV/0!</v>
      </c>
      <c r="AL87" s="1" t="e">
        <f t="shared" si="50"/>
        <v>#DIV/0!</v>
      </c>
      <c r="AM87" s="1" t="e">
        <f t="shared" si="50"/>
        <v>#DIV/0!</v>
      </c>
      <c r="AN87" s="1" t="e">
        <f t="shared" si="50"/>
        <v>#DIV/0!</v>
      </c>
      <c r="AO87" s="1" t="e">
        <f t="shared" si="50"/>
        <v>#DIV/0!</v>
      </c>
    </row>
    <row r="88" spans="1:41" x14ac:dyDescent="0.2">
      <c r="A88" s="2">
        <f t="shared" si="32"/>
        <v>0</v>
      </c>
      <c r="B88" s="1" t="e">
        <f t="shared" ref="B88:AO88" si="51">IF(B$45&lt;=$P40,0,B66*$U$12)</f>
        <v>#DIV/0!</v>
      </c>
      <c r="C88" s="1" t="e">
        <f t="shared" si="51"/>
        <v>#DIV/0!</v>
      </c>
      <c r="D88" s="1" t="e">
        <f t="shared" si="51"/>
        <v>#DIV/0!</v>
      </c>
      <c r="E88" s="1" t="e">
        <f t="shared" si="51"/>
        <v>#DIV/0!</v>
      </c>
      <c r="F88" s="1" t="e">
        <f t="shared" si="51"/>
        <v>#DIV/0!</v>
      </c>
      <c r="G88" s="1" t="e">
        <f t="shared" si="51"/>
        <v>#DIV/0!</v>
      </c>
      <c r="H88" s="1" t="e">
        <f t="shared" si="51"/>
        <v>#DIV/0!</v>
      </c>
      <c r="I88" s="1" t="e">
        <f t="shared" si="51"/>
        <v>#DIV/0!</v>
      </c>
      <c r="J88" s="1" t="e">
        <f t="shared" si="51"/>
        <v>#DIV/0!</v>
      </c>
      <c r="K88" s="1" t="e">
        <f t="shared" si="51"/>
        <v>#DIV/0!</v>
      </c>
      <c r="L88" s="1" t="e">
        <f t="shared" si="51"/>
        <v>#DIV/0!</v>
      </c>
      <c r="M88" s="1" t="e">
        <f t="shared" si="51"/>
        <v>#DIV/0!</v>
      </c>
      <c r="N88" s="1" t="e">
        <f t="shared" si="51"/>
        <v>#DIV/0!</v>
      </c>
      <c r="O88" s="1" t="e">
        <f t="shared" si="51"/>
        <v>#DIV/0!</v>
      </c>
      <c r="P88" s="1" t="e">
        <f t="shared" si="51"/>
        <v>#DIV/0!</v>
      </c>
      <c r="Q88" s="1" t="e">
        <f t="shared" si="51"/>
        <v>#DIV/0!</v>
      </c>
      <c r="R88" s="1" t="e">
        <f t="shared" si="51"/>
        <v>#DIV/0!</v>
      </c>
      <c r="S88" s="1" t="e">
        <f t="shared" si="51"/>
        <v>#DIV/0!</v>
      </c>
      <c r="T88" s="1" t="e">
        <f t="shared" si="51"/>
        <v>#DIV/0!</v>
      </c>
      <c r="U88" s="1" t="e">
        <f t="shared" si="51"/>
        <v>#DIV/0!</v>
      </c>
      <c r="V88" s="1" t="e">
        <f t="shared" si="51"/>
        <v>#DIV/0!</v>
      </c>
      <c r="W88" s="1" t="e">
        <f t="shared" si="51"/>
        <v>#DIV/0!</v>
      </c>
      <c r="X88" s="1" t="e">
        <f t="shared" si="51"/>
        <v>#DIV/0!</v>
      </c>
      <c r="Y88" s="1" t="e">
        <f t="shared" si="51"/>
        <v>#DIV/0!</v>
      </c>
      <c r="Z88" s="1" t="e">
        <f t="shared" si="51"/>
        <v>#DIV/0!</v>
      </c>
      <c r="AA88" s="1" t="e">
        <f t="shared" si="51"/>
        <v>#DIV/0!</v>
      </c>
      <c r="AB88" s="1" t="e">
        <f t="shared" si="51"/>
        <v>#DIV/0!</v>
      </c>
      <c r="AC88" s="1" t="e">
        <f t="shared" si="51"/>
        <v>#DIV/0!</v>
      </c>
      <c r="AD88" s="1" t="e">
        <f t="shared" si="51"/>
        <v>#DIV/0!</v>
      </c>
      <c r="AE88" s="1" t="e">
        <f t="shared" si="51"/>
        <v>#DIV/0!</v>
      </c>
      <c r="AF88" s="1" t="e">
        <f t="shared" si="51"/>
        <v>#DIV/0!</v>
      </c>
      <c r="AG88" s="1" t="e">
        <f t="shared" si="51"/>
        <v>#DIV/0!</v>
      </c>
      <c r="AH88" s="1" t="e">
        <f t="shared" si="51"/>
        <v>#DIV/0!</v>
      </c>
      <c r="AI88" s="1" t="e">
        <f t="shared" si="51"/>
        <v>#DIV/0!</v>
      </c>
      <c r="AJ88" s="1" t="e">
        <f t="shared" si="51"/>
        <v>#DIV/0!</v>
      </c>
      <c r="AK88" s="1" t="e">
        <f t="shared" si="51"/>
        <v>#DIV/0!</v>
      </c>
      <c r="AL88" s="1" t="e">
        <f t="shared" si="51"/>
        <v>#DIV/0!</v>
      </c>
      <c r="AM88" s="1" t="e">
        <f t="shared" si="51"/>
        <v>#DIV/0!</v>
      </c>
      <c r="AN88" s="1" t="e">
        <f t="shared" si="51"/>
        <v>#DIV/0!</v>
      </c>
      <c r="AO88" s="1" t="e">
        <f t="shared" si="51"/>
        <v>#DIV/0!</v>
      </c>
    </row>
    <row r="90" spans="1:41" x14ac:dyDescent="0.2">
      <c r="A90" s="3" t="s">
        <v>35</v>
      </c>
    </row>
    <row r="91" spans="1:41" x14ac:dyDescent="0.2">
      <c r="A91" s="2">
        <f>A69</f>
        <v>5.4030310811624772E-2</v>
      </c>
      <c r="B91" s="4">
        <f t="shared" ref="B91:AO91" si="52">B47*LN(30*$D21*B$45/$J21)</f>
        <v>2.4075698353097943</v>
      </c>
      <c r="C91" s="4">
        <f t="shared" si="52"/>
        <v>0.38955234237418301</v>
      </c>
      <c r="D91" s="4">
        <f t="shared" si="52"/>
        <v>0.10021234510403262</v>
      </c>
      <c r="E91" s="4">
        <f t="shared" si="52"/>
        <v>3.3476672090411094E-2</v>
      </c>
      <c r="F91" s="4">
        <f t="shared" si="52"/>
        <v>1.3218329793801956E-2</v>
      </c>
      <c r="G91" s="4">
        <f t="shared" si="52"/>
        <v>5.8593043099267189E-3</v>
      </c>
      <c r="H91" s="4">
        <f t="shared" si="52"/>
        <v>2.8257083119323351E-3</v>
      </c>
      <c r="I91" s="4">
        <f t="shared" si="52"/>
        <v>1.4523959082302881E-3</v>
      </c>
      <c r="J91" s="4">
        <f t="shared" si="52"/>
        <v>7.8436859665272649E-4</v>
      </c>
      <c r="K91" s="4">
        <f t="shared" si="52"/>
        <v>4.4049093530157689E-4</v>
      </c>
      <c r="L91" s="4">
        <f t="shared" si="52"/>
        <v>2.5524228970245639E-4</v>
      </c>
      <c r="M91" s="4">
        <f t="shared" si="52"/>
        <v>1.5168421067758727E-4</v>
      </c>
      <c r="N91" s="4">
        <f t="shared" si="52"/>
        <v>9.2003032663389225E-5</v>
      </c>
      <c r="O91" s="4">
        <f t="shared" si="52"/>
        <v>5.6730674534491231E-5</v>
      </c>
      <c r="P91" s="4">
        <f t="shared" si="52"/>
        <v>3.5443958061644747E-5</v>
      </c>
      <c r="Q91" s="4">
        <f t="shared" si="52"/>
        <v>2.2373292726763718E-5</v>
      </c>
      <c r="R91" s="4">
        <f t="shared" si="52"/>
        <v>1.423252665680371E-5</v>
      </c>
      <c r="S91" s="4">
        <f t="shared" si="52"/>
        <v>9.1034030801043868E-6</v>
      </c>
      <c r="T91" s="4">
        <f t="shared" si="52"/>
        <v>5.8421321327056009E-6</v>
      </c>
      <c r="U91" s="4">
        <f t="shared" si="52"/>
        <v>3.7540833532406139E-6</v>
      </c>
      <c r="V91" s="4">
        <f t="shared" si="52"/>
        <v>2.4106743718541403E-6</v>
      </c>
      <c r="W91" s="4">
        <f t="shared" si="52"/>
        <v>1.5438567566180185E-6</v>
      </c>
      <c r="X91" s="4">
        <f t="shared" si="52"/>
        <v>9.8403755357200684E-7</v>
      </c>
      <c r="Y91" s="4">
        <f t="shared" si="52"/>
        <v>6.2287349643921887E-7</v>
      </c>
      <c r="Z91" s="4">
        <f t="shared" si="52"/>
        <v>3.9060159827451469E-7</v>
      </c>
      <c r="AA91" s="4">
        <f t="shared" si="52"/>
        <v>2.4202252031546935E-7</v>
      </c>
      <c r="AB91" s="4">
        <f t="shared" si="52"/>
        <v>1.4772027895196371E-7</v>
      </c>
      <c r="AC91" s="4">
        <f t="shared" si="52"/>
        <v>8.8498299416847534E-8</v>
      </c>
      <c r="AD91" s="4">
        <f t="shared" si="52"/>
        <v>5.1817719772136786E-8</v>
      </c>
      <c r="AE91" s="4">
        <f t="shared" si="52"/>
        <v>2.9497249526933346E-8</v>
      </c>
      <c r="AF91" s="4">
        <f t="shared" si="52"/>
        <v>1.6216519897233461E-8</v>
      </c>
      <c r="AG91" s="4">
        <f t="shared" si="52"/>
        <v>8.5361280661008024E-9</v>
      </c>
      <c r="AH91" s="4">
        <f t="shared" si="52"/>
        <v>4.2527826123346487E-9</v>
      </c>
      <c r="AI91" s="4">
        <f t="shared" si="52"/>
        <v>1.9733955148971535E-9</v>
      </c>
      <c r="AJ91" s="4">
        <f t="shared" si="52"/>
        <v>8.3313856838777248E-10</v>
      </c>
      <c r="AK91" s="4">
        <f t="shared" si="52"/>
        <v>3.0866023479730938E-10</v>
      </c>
      <c r="AL91" s="4">
        <f t="shared" si="52"/>
        <v>9.4463689693641395E-11</v>
      </c>
      <c r="AM91" s="4">
        <f t="shared" si="52"/>
        <v>2.1328279115383408E-11</v>
      </c>
      <c r="AN91" s="4">
        <f t="shared" si="52"/>
        <v>2.7566891726074358E-12</v>
      </c>
      <c r="AO91" s="4">
        <f t="shared" si="52"/>
        <v>9.0820846191225232E-14</v>
      </c>
    </row>
    <row r="92" spans="1:41" x14ac:dyDescent="0.2">
      <c r="A92" s="2">
        <f t="shared" ref="A92:A110" si="53">A70</f>
        <v>8.2033922978797094E-2</v>
      </c>
      <c r="B92" s="4">
        <f t="shared" ref="B92:AO92" si="54">B48*LN(30*$D22*B$45/$J22)</f>
        <v>2.4075698353097943</v>
      </c>
      <c r="C92" s="4">
        <f t="shared" si="54"/>
        <v>0.76344476834274644</v>
      </c>
      <c r="D92" s="4">
        <f t="shared" si="54"/>
        <v>0.322497309619734</v>
      </c>
      <c r="E92" s="4">
        <f t="shared" si="54"/>
        <v>0.16034369197200579</v>
      </c>
      <c r="F92" s="4">
        <f t="shared" si="54"/>
        <v>8.8530134372011737E-2</v>
      </c>
      <c r="G92" s="4">
        <f t="shared" si="54"/>
        <v>5.2567171469917372E-2</v>
      </c>
      <c r="H92" s="4">
        <f t="shared" si="54"/>
        <v>3.2915786785244296E-2</v>
      </c>
      <c r="I92" s="4">
        <f t="shared" si="54"/>
        <v>2.145625820662353E-2</v>
      </c>
      <c r="J92" s="4">
        <f t="shared" si="54"/>
        <v>1.4429917808957421E-2</v>
      </c>
      <c r="K92" s="4">
        <f t="shared" si="54"/>
        <v>9.947147033775576E-3</v>
      </c>
      <c r="L92" s="4">
        <f t="shared" si="54"/>
        <v>6.9939112237392192E-3</v>
      </c>
      <c r="M92" s="4">
        <f t="shared" si="54"/>
        <v>4.9964900638673794E-3</v>
      </c>
      <c r="N92" s="4">
        <f t="shared" si="54"/>
        <v>3.6157789302715621E-3</v>
      </c>
      <c r="O92" s="4">
        <f t="shared" si="54"/>
        <v>2.6438505818493917E-3</v>
      </c>
      <c r="P92" s="4">
        <f t="shared" si="54"/>
        <v>1.9491664400685148E-3</v>
      </c>
      <c r="Q92" s="4">
        <f t="shared" si="54"/>
        <v>1.4462477482498444E-3</v>
      </c>
      <c r="R92" s="4">
        <f t="shared" si="54"/>
        <v>1.078237813440676E-3</v>
      </c>
      <c r="S92" s="4">
        <f t="shared" si="54"/>
        <v>8.0654013081566593E-4</v>
      </c>
      <c r="T92" s="4">
        <f t="shared" si="54"/>
        <v>6.0448060038845414E-4</v>
      </c>
      <c r="U92" s="4">
        <f t="shared" si="54"/>
        <v>4.5333076972472271E-4</v>
      </c>
      <c r="V92" s="4">
        <f t="shared" si="54"/>
        <v>3.3975518554869914E-4</v>
      </c>
      <c r="W92" s="4">
        <f t="shared" si="54"/>
        <v>2.5413919666678042E-4</v>
      </c>
      <c r="X92" s="4">
        <f t="shared" si="54"/>
        <v>1.8947329213027161E-4</v>
      </c>
      <c r="Y92" s="4">
        <f t="shared" si="54"/>
        <v>1.4059633467362312E-4</v>
      </c>
      <c r="Z92" s="4">
        <f t="shared" si="54"/>
        <v>1.0367447323523981E-4</v>
      </c>
      <c r="AA92" s="4">
        <f t="shared" si="54"/>
        <v>7.5837398770836284E-5</v>
      </c>
      <c r="AB92" s="4">
        <f t="shared" si="54"/>
        <v>5.4921243069708538E-5</v>
      </c>
      <c r="AC92" s="4">
        <f t="shared" si="54"/>
        <v>3.9284765034251144E-5</v>
      </c>
      <c r="AD92" s="4">
        <f t="shared" si="54"/>
        <v>2.7676547318378692E-5</v>
      </c>
      <c r="AE92" s="4">
        <f t="shared" si="54"/>
        <v>1.913811736622455E-5</v>
      </c>
      <c r="AF92" s="4">
        <f t="shared" si="54"/>
        <v>1.29326448923919E-5</v>
      </c>
      <c r="AG92" s="4">
        <f t="shared" si="54"/>
        <v>8.492033015495268E-6</v>
      </c>
      <c r="AH92" s="4">
        <f t="shared" si="54"/>
        <v>5.3773620967053168E-6</v>
      </c>
      <c r="AI92" s="4">
        <f t="shared" si="54"/>
        <v>3.2491122490134621E-6</v>
      </c>
      <c r="AJ92" s="4">
        <f t="shared" si="54"/>
        <v>1.8446066534528746E-6</v>
      </c>
      <c r="AK92" s="4">
        <f t="shared" si="54"/>
        <v>9.608295866782027E-7</v>
      </c>
      <c r="AL92" s="4">
        <f t="shared" si="54"/>
        <v>4.4127748158113772E-7</v>
      </c>
      <c r="AM92" s="4">
        <f t="shared" si="54"/>
        <v>1.6586439102569755E-7</v>
      </c>
      <c r="AN92" s="4">
        <f t="shared" si="54"/>
        <v>4.3173079942465126E-8</v>
      </c>
      <c r="AO92" s="4">
        <f t="shared" si="54"/>
        <v>4.5673565869006743E-9</v>
      </c>
    </row>
    <row r="93" spans="1:41" x14ac:dyDescent="0.2">
      <c r="A93" s="2">
        <f t="shared" si="53"/>
        <v>9.1944415865399087E-2</v>
      </c>
      <c r="B93" s="4">
        <f t="shared" ref="B93:AO93" si="55">B49*LN(30*$D23*B$45/$J23)</f>
        <v>2.4075698353097943</v>
      </c>
      <c r="C93" s="4">
        <f t="shared" si="55"/>
        <v>0.87810788880153867</v>
      </c>
      <c r="D93" s="4">
        <f t="shared" si="55"/>
        <v>0.41123577254540211</v>
      </c>
      <c r="E93" s="4">
        <f t="shared" si="55"/>
        <v>0.2220922793220407</v>
      </c>
      <c r="F93" s="4">
        <f t="shared" si="55"/>
        <v>0.13147816976510404</v>
      </c>
      <c r="G93" s="4">
        <f t="shared" si="55"/>
        <v>8.2962019095175851E-2</v>
      </c>
      <c r="H93" s="4">
        <f t="shared" si="55"/>
        <v>5.4847151760726957E-2</v>
      </c>
      <c r="I93" s="4">
        <f t="shared" si="55"/>
        <v>3.7563349695760737E-2</v>
      </c>
      <c r="J93" s="4">
        <f t="shared" si="55"/>
        <v>2.6441623933080961E-2</v>
      </c>
      <c r="K93" s="4">
        <f t="shared" si="55"/>
        <v>1.9021096225347506E-2</v>
      </c>
      <c r="L93" s="4">
        <f t="shared" si="55"/>
        <v>1.3922830466674172E-2</v>
      </c>
      <c r="M93" s="4">
        <f t="shared" si="55"/>
        <v>1.0334770986468466E-2</v>
      </c>
      <c r="N93" s="4">
        <f t="shared" si="55"/>
        <v>7.7586032330677198E-3</v>
      </c>
      <c r="O93" s="4">
        <f t="shared" si="55"/>
        <v>5.8777633792151803E-3</v>
      </c>
      <c r="P93" s="4">
        <f t="shared" si="55"/>
        <v>4.4851230065575034E-3</v>
      </c>
      <c r="Q93" s="4">
        <f t="shared" si="55"/>
        <v>3.4416653456375403E-3</v>
      </c>
      <c r="R93" s="4">
        <f t="shared" si="55"/>
        <v>2.6519998828947434E-3</v>
      </c>
      <c r="S93" s="4">
        <f t="shared" si="55"/>
        <v>2.049389429988883E-3</v>
      </c>
      <c r="T93" s="4">
        <f t="shared" si="55"/>
        <v>1.586337114562123E-3</v>
      </c>
      <c r="U93" s="4">
        <f t="shared" si="55"/>
        <v>1.2285219666043233E-3</v>
      </c>
      <c r="V93" s="4">
        <f t="shared" si="55"/>
        <v>9.5080564841453039E-4</v>
      </c>
      <c r="W93" s="4">
        <f t="shared" si="55"/>
        <v>7.3455102416055047E-4</v>
      </c>
      <c r="X93" s="4">
        <f t="shared" si="55"/>
        <v>5.6578957779778057E-4</v>
      </c>
      <c r="Y93" s="4">
        <f t="shared" si="55"/>
        <v>4.3394880017387689E-4</v>
      </c>
      <c r="Z93" s="4">
        <f t="shared" si="55"/>
        <v>3.3095550931976162E-4</v>
      </c>
      <c r="AA93" s="4">
        <f t="shared" si="55"/>
        <v>2.5059561796488325E-4</v>
      </c>
      <c r="AB93" s="4">
        <f t="shared" si="55"/>
        <v>1.8805141710872392E-4</v>
      </c>
      <c r="AC93" s="4">
        <f t="shared" si="55"/>
        <v>1.3956340004763271E-4</v>
      </c>
      <c r="AD93" s="4">
        <f t="shared" si="55"/>
        <v>1.0218054808139579E-4</v>
      </c>
      <c r="AE93" s="4">
        <f t="shared" si="55"/>
        <v>7.3574172502435334E-5</v>
      </c>
      <c r="AF93" s="4">
        <f t="shared" si="55"/>
        <v>5.1897903788388592E-5</v>
      </c>
      <c r="AG93" s="4">
        <f t="shared" si="55"/>
        <v>3.5681515981677923E-5</v>
      </c>
      <c r="AH93" s="4">
        <f t="shared" si="55"/>
        <v>2.3749782942779436E-5</v>
      </c>
      <c r="AI93" s="4">
        <f t="shared" si="55"/>
        <v>1.5160005732273718E-5</v>
      </c>
      <c r="AJ93" s="4">
        <f t="shared" si="55"/>
        <v>9.1535674284036297E-6</v>
      </c>
      <c r="AK93" s="4">
        <f t="shared" si="55"/>
        <v>5.1180872301323911E-6</v>
      </c>
      <c r="AL93" s="4">
        <f t="shared" si="55"/>
        <v>2.5576060726478039E-6</v>
      </c>
      <c r="AM93" s="4">
        <f t="shared" si="55"/>
        <v>1.0688297266574832E-6</v>
      </c>
      <c r="AN93" s="4">
        <f t="shared" si="55"/>
        <v>3.2180738222455841E-7</v>
      </c>
      <c r="AO93" s="4">
        <f t="shared" si="55"/>
        <v>4.3392528844872688E-8</v>
      </c>
    </row>
    <row r="94" spans="1:41" x14ac:dyDescent="0.2">
      <c r="A94" s="2">
        <f t="shared" si="53"/>
        <v>9.6462480100896211E-2</v>
      </c>
      <c r="B94" s="4">
        <f t="shared" ref="B94:AO94" si="56">B50*LN(30*$D24*B$45/$J24)</f>
        <v>2.4075698353097943</v>
      </c>
      <c r="C94" s="4">
        <f t="shared" si="56"/>
        <v>0.92706100073315145</v>
      </c>
      <c r="D94" s="4">
        <f t="shared" si="56"/>
        <v>0.45187468940935216</v>
      </c>
      <c r="E94" s="4">
        <f t="shared" si="56"/>
        <v>0.25199122417503167</v>
      </c>
      <c r="F94" s="4">
        <f t="shared" si="56"/>
        <v>0.15326586120260657</v>
      </c>
      <c r="G94" s="4">
        <f t="shared" si="56"/>
        <v>9.9016400056396212E-2</v>
      </c>
      <c r="H94" s="4">
        <f t="shared" si="56"/>
        <v>6.6853751058151292E-2</v>
      </c>
      <c r="I94" s="4">
        <f t="shared" si="56"/>
        <v>4.6671974657006787E-2</v>
      </c>
      <c r="J94" s="4">
        <f t="shared" si="56"/>
        <v>3.3439654974531392E-2</v>
      </c>
      <c r="K94" s="4">
        <f t="shared" si="56"/>
        <v>2.4456062492042456E-2</v>
      </c>
      <c r="L94" s="4">
        <f t="shared" si="56"/>
        <v>1.8182422760832984E-2</v>
      </c>
      <c r="M94" s="4">
        <f t="shared" si="56"/>
        <v>1.3698463433815511E-2</v>
      </c>
      <c r="N94" s="4">
        <f t="shared" si="56"/>
        <v>1.0431258143965515E-2</v>
      </c>
      <c r="O94" s="4">
        <f t="shared" si="56"/>
        <v>8.0118584232191249E-3</v>
      </c>
      <c r="P94" s="4">
        <f t="shared" si="56"/>
        <v>6.1957186275024478E-3</v>
      </c>
      <c r="Q94" s="4">
        <f t="shared" si="56"/>
        <v>4.8166660637943576E-3</v>
      </c>
      <c r="R94" s="4">
        <f t="shared" si="56"/>
        <v>3.7593110164902042E-3</v>
      </c>
      <c r="S94" s="4">
        <f t="shared" si="56"/>
        <v>2.941989470421198E-3</v>
      </c>
      <c r="T94" s="4">
        <f t="shared" si="56"/>
        <v>2.3059268462544938E-3</v>
      </c>
      <c r="U94" s="4">
        <f t="shared" si="56"/>
        <v>1.8081860916673209E-3</v>
      </c>
      <c r="V94" s="4">
        <f t="shared" si="56"/>
        <v>1.4169789414852738E-3</v>
      </c>
      <c r="W94" s="4">
        <f t="shared" si="56"/>
        <v>1.1084878210793029E-3</v>
      </c>
      <c r="X94" s="4">
        <f t="shared" si="56"/>
        <v>8.6467395770012997E-4</v>
      </c>
      <c r="Y94" s="4">
        <f t="shared" si="56"/>
        <v>6.7174169252951833E-4</v>
      </c>
      <c r="Z94" s="4">
        <f t="shared" si="56"/>
        <v>5.1904702332992525E-4</v>
      </c>
      <c r="AA94" s="4">
        <f t="shared" si="56"/>
        <v>3.9831165615338926E-4</v>
      </c>
      <c r="AB94" s="4">
        <f t="shared" si="56"/>
        <v>3.0305021679802861E-4</v>
      </c>
      <c r="AC94" s="4">
        <f t="shared" si="56"/>
        <v>2.2814817182422692E-4</v>
      </c>
      <c r="AD94" s="4">
        <f t="shared" si="56"/>
        <v>1.6954761328608387E-4</v>
      </c>
      <c r="AE94" s="4">
        <f t="shared" si="56"/>
        <v>1.2401111589628439E-4</v>
      </c>
      <c r="AF94" s="4">
        <f t="shared" si="56"/>
        <v>8.8942693246162871E-5</v>
      </c>
      <c r="AG94" s="4">
        <f t="shared" si="56"/>
        <v>6.2250914580102239E-5</v>
      </c>
      <c r="AH94" s="4">
        <f t="shared" si="56"/>
        <v>4.2243423505523655E-5</v>
      </c>
      <c r="AI94" s="4">
        <f t="shared" si="56"/>
        <v>2.7545025664496178E-5</v>
      </c>
      <c r="AJ94" s="4">
        <f t="shared" si="56"/>
        <v>1.7033576742337862E-5</v>
      </c>
      <c r="AK94" s="4">
        <f t="shared" si="56"/>
        <v>9.7893623239670419E-6</v>
      </c>
      <c r="AL94" s="4">
        <f t="shared" si="56"/>
        <v>5.0546787609481019E-6</v>
      </c>
      <c r="AM94" s="4">
        <f t="shared" si="56"/>
        <v>2.2009767808919238E-6</v>
      </c>
      <c r="AN94" s="4">
        <f t="shared" si="56"/>
        <v>7.0115829924043103E-7</v>
      </c>
      <c r="AO94" s="4">
        <f t="shared" si="56"/>
        <v>1.0386889518381813E-7</v>
      </c>
    </row>
    <row r="95" spans="1:41" x14ac:dyDescent="0.2">
      <c r="A95" s="2">
        <f t="shared" si="53"/>
        <v>0.10010376906299254</v>
      </c>
      <c r="B95" s="4">
        <f t="shared" ref="B95:AO95" si="57">B51*LN(30*$D25*B$45/$J25)</f>
        <v>2.4075698353097943</v>
      </c>
      <c r="C95" s="4">
        <f t="shared" si="57"/>
        <v>0.96504794948647243</v>
      </c>
      <c r="D95" s="4">
        <f t="shared" si="57"/>
        <v>0.48452286024061736</v>
      </c>
      <c r="E95" s="4">
        <f t="shared" si="57"/>
        <v>0.27668747909050362</v>
      </c>
      <c r="F95" s="4">
        <f t="shared" si="57"/>
        <v>0.17168798772977462</v>
      </c>
      <c r="G95" s="4">
        <f t="shared" si="57"/>
        <v>0.1128700788636209</v>
      </c>
      <c r="H95" s="4">
        <f t="shared" si="57"/>
        <v>7.7404502219468541E-2</v>
      </c>
      <c r="I95" s="4">
        <f t="shared" si="57"/>
        <v>5.480947064489182E-2</v>
      </c>
      <c r="J95" s="4">
        <f t="shared" si="57"/>
        <v>3.9787592651191132E-2</v>
      </c>
      <c r="K95" s="4">
        <f t="shared" si="57"/>
        <v>2.9456790055337492E-2</v>
      </c>
      <c r="L95" s="4">
        <f t="shared" si="57"/>
        <v>2.2154630211942562E-2</v>
      </c>
      <c r="M95" s="4">
        <f t="shared" si="57"/>
        <v>1.6875507037475049E-2</v>
      </c>
      <c r="N95" s="4">
        <f t="shared" si="57"/>
        <v>1.2986675811826567E-2</v>
      </c>
      <c r="O95" s="4">
        <f t="shared" si="57"/>
        <v>1.0076562198872884E-2</v>
      </c>
      <c r="P95" s="4">
        <f t="shared" si="57"/>
        <v>7.869758596961476E-3</v>
      </c>
      <c r="Q95" s="4">
        <f t="shared" si="57"/>
        <v>6.1774109366810838E-3</v>
      </c>
      <c r="R95" s="4">
        <f t="shared" si="57"/>
        <v>4.8672277548599411E-3</v>
      </c>
      <c r="S95" s="4">
        <f t="shared" si="57"/>
        <v>3.8447886316964508E-3</v>
      </c>
      <c r="T95" s="4">
        <f t="shared" si="57"/>
        <v>3.0415780244551298E-3</v>
      </c>
      <c r="U95" s="4">
        <f t="shared" si="57"/>
        <v>2.4071404066511905E-3</v>
      </c>
      <c r="V95" s="4">
        <f t="shared" si="57"/>
        <v>1.9038271236625677E-3</v>
      </c>
      <c r="W95" s="4">
        <f t="shared" si="57"/>
        <v>1.5032112066624415E-3</v>
      </c>
      <c r="X95" s="4">
        <f t="shared" si="57"/>
        <v>1.1835982034579379E-3</v>
      </c>
      <c r="Y95" s="4">
        <f t="shared" si="57"/>
        <v>9.2827087725066537E-4</v>
      </c>
      <c r="Z95" s="4">
        <f t="shared" si="57"/>
        <v>7.2423375498530367E-4</v>
      </c>
      <c r="AA95" s="4">
        <f t="shared" si="57"/>
        <v>5.6130348011395432E-4</v>
      </c>
      <c r="AB95" s="4">
        <f t="shared" si="57"/>
        <v>4.3144183771309178E-4</v>
      </c>
      <c r="AC95" s="4">
        <f t="shared" si="57"/>
        <v>3.2826132492151758E-4</v>
      </c>
      <c r="AD95" s="4">
        <f t="shared" si="57"/>
        <v>2.4665489434481073E-4</v>
      </c>
      <c r="AE95" s="4">
        <f t="shared" si="57"/>
        <v>1.8251605841407138E-4</v>
      </c>
      <c r="AF95" s="4">
        <f t="shared" si="57"/>
        <v>1.325254261347136E-4</v>
      </c>
      <c r="AG95" s="4">
        <f t="shared" si="57"/>
        <v>9.3986539594773531E-5</v>
      </c>
      <c r="AH95" s="4">
        <f t="shared" si="57"/>
        <v>6.4698605032948326E-5</v>
      </c>
      <c r="AI95" s="4">
        <f t="shared" si="57"/>
        <v>4.2857034043601752E-5</v>
      </c>
      <c r="AJ95" s="4">
        <f t="shared" si="57"/>
        <v>2.6975057767120733E-5</v>
      </c>
      <c r="AK95" s="4">
        <f t="shared" si="57"/>
        <v>1.5821331477495775E-5</v>
      </c>
      <c r="AL95" s="4">
        <f t="shared" si="57"/>
        <v>8.3695764382219088E-6</v>
      </c>
      <c r="AM95" s="4">
        <f t="shared" si="57"/>
        <v>3.7569604493104445E-6</v>
      </c>
      <c r="AN95" s="4">
        <f t="shared" si="57"/>
        <v>1.2479094152398155E-6</v>
      </c>
      <c r="AO95" s="4">
        <f t="shared" si="57"/>
        <v>1.9819468645671641E-7</v>
      </c>
    </row>
    <row r="96" spans="1:41" x14ac:dyDescent="0.2">
      <c r="A96" s="2">
        <f t="shared" si="53"/>
        <v>0.1032553356878641</v>
      </c>
      <c r="B96" s="4">
        <f t="shared" ref="B96:AO96" si="58">B52*LN(30*$D26*B$45/$J26)</f>
        <v>2.4075698353097943</v>
      </c>
      <c r="C96" s="4">
        <f t="shared" si="58"/>
        <v>0.99689819804718893</v>
      </c>
      <c r="D96" s="4">
        <f t="shared" si="58"/>
        <v>0.51263811848577301</v>
      </c>
      <c r="E96" s="4">
        <f t="shared" si="58"/>
        <v>0.29841505457683143</v>
      </c>
      <c r="F96" s="4">
        <f t="shared" si="58"/>
        <v>0.18819059533373453</v>
      </c>
      <c r="G96" s="4">
        <f t="shared" si="58"/>
        <v>0.12547682991592551</v>
      </c>
      <c r="H96" s="4">
        <f t="shared" si="58"/>
        <v>8.7141279490899073E-2</v>
      </c>
      <c r="I96" s="4">
        <f t="shared" si="58"/>
        <v>6.241561986504298E-2</v>
      </c>
      <c r="J96" s="4">
        <f t="shared" si="58"/>
        <v>4.5791326773076575E-2</v>
      </c>
      <c r="K96" s="4">
        <f t="shared" si="58"/>
        <v>3.4238672639113177E-2</v>
      </c>
      <c r="L96" s="4">
        <f t="shared" si="58"/>
        <v>2.5992620583869863E-2</v>
      </c>
      <c r="M96" s="4">
        <f t="shared" si="58"/>
        <v>1.9975656635742748E-2</v>
      </c>
      <c r="N96" s="4">
        <f t="shared" si="58"/>
        <v>1.5503955521004814E-2</v>
      </c>
      <c r="O96" s="4">
        <f t="shared" si="58"/>
        <v>1.2129112274052578E-2</v>
      </c>
      <c r="P96" s="4">
        <f t="shared" si="58"/>
        <v>9.5487667509773222E-3</v>
      </c>
      <c r="Q96" s="4">
        <f t="shared" si="58"/>
        <v>7.5540604993908685E-3</v>
      </c>
      <c r="R96" s="4">
        <f t="shared" si="58"/>
        <v>5.997657342615214E-3</v>
      </c>
      <c r="S96" s="4">
        <f t="shared" si="58"/>
        <v>4.7736830381381956E-3</v>
      </c>
      <c r="T96" s="4">
        <f t="shared" si="58"/>
        <v>3.8048032433047555E-3</v>
      </c>
      <c r="U96" s="4">
        <f t="shared" si="58"/>
        <v>3.0337016899539206E-3</v>
      </c>
      <c r="V96" s="4">
        <f t="shared" si="58"/>
        <v>2.4173411199695147E-3</v>
      </c>
      <c r="W96" s="4">
        <f t="shared" si="58"/>
        <v>1.9230248568204841E-3</v>
      </c>
      <c r="X96" s="4">
        <f t="shared" si="58"/>
        <v>1.5256477667600931E-3</v>
      </c>
      <c r="Y96" s="4">
        <f t="shared" si="58"/>
        <v>1.2057476337673297E-3</v>
      </c>
      <c r="Z96" s="4">
        <f t="shared" si="58"/>
        <v>9.4810437920919417E-4</v>
      </c>
      <c r="AA96" s="4">
        <f t="shared" si="58"/>
        <v>7.4072009199068443E-4</v>
      </c>
      <c r="AB96" s="4">
        <f t="shared" si="58"/>
        <v>5.7406753334207259E-4</v>
      </c>
      <c r="AC96" s="4">
        <f t="shared" si="58"/>
        <v>4.4053039337071687E-4</v>
      </c>
      <c r="AD96" s="4">
        <f t="shared" si="58"/>
        <v>3.3398214895613494E-4</v>
      </c>
      <c r="AE96" s="4">
        <f t="shared" si="58"/>
        <v>2.4946621379413642E-4</v>
      </c>
      <c r="AF96" s="4">
        <f t="shared" si="58"/>
        <v>1.8295086646770629E-4</v>
      </c>
      <c r="AG96" s="4">
        <f t="shared" si="58"/>
        <v>1.3113989280255311E-4</v>
      </c>
      <c r="AH96" s="4">
        <f t="shared" si="58"/>
        <v>9.1325078927765471E-5</v>
      </c>
      <c r="AI96" s="4">
        <f t="shared" si="58"/>
        <v>6.127035393410006E-5</v>
      </c>
      <c r="AJ96" s="4">
        <f t="shared" si="58"/>
        <v>3.9119971829263821E-5</v>
      </c>
      <c r="AK96" s="4">
        <f t="shared" si="58"/>
        <v>2.3324940294544727E-5</v>
      </c>
      <c r="AL96" s="4">
        <f t="shared" si="58"/>
        <v>1.258311559277801E-5</v>
      </c>
      <c r="AM96" s="4">
        <f t="shared" si="58"/>
        <v>5.7889998011649254E-6</v>
      </c>
      <c r="AN96" s="4">
        <f t="shared" si="58"/>
        <v>1.9889420372339777E-6</v>
      </c>
      <c r="AO96" s="4">
        <f t="shared" si="58"/>
        <v>3.3418104668884581E-7</v>
      </c>
    </row>
    <row r="97" spans="1:41" x14ac:dyDescent="0.2">
      <c r="A97" s="2">
        <f t="shared" si="53"/>
        <v>0.10607654542558198</v>
      </c>
      <c r="B97" s="4">
        <f t="shared" ref="B97:AO97" si="59">B53*LN(30*$D27*B$45/$J27)</f>
        <v>2.4075698353097943</v>
      </c>
      <c r="C97" s="4">
        <f t="shared" si="59"/>
        <v>1.0246221236226338</v>
      </c>
      <c r="D97" s="4">
        <f t="shared" si="59"/>
        <v>0.5376565966039305</v>
      </c>
      <c r="E97" s="4">
        <f t="shared" si="59"/>
        <v>0.31809412924360425</v>
      </c>
      <c r="F97" s="4">
        <f t="shared" si="59"/>
        <v>0.20336156566142641</v>
      </c>
      <c r="G97" s="4">
        <f t="shared" si="59"/>
        <v>0.13721771144463016</v>
      </c>
      <c r="H97" s="4">
        <f t="shared" si="59"/>
        <v>9.6315017642360751E-2</v>
      </c>
      <c r="I97" s="4">
        <f t="shared" si="59"/>
        <v>6.9657888780168417E-2</v>
      </c>
      <c r="J97" s="4">
        <f t="shared" si="59"/>
        <v>5.1563740497599382E-2</v>
      </c>
      <c r="K97" s="4">
        <f t="shared" si="59"/>
        <v>3.8878293743637979E-2</v>
      </c>
      <c r="L97" s="4">
        <f t="shared" si="59"/>
        <v>2.9748502287594399E-2</v>
      </c>
      <c r="M97" s="4">
        <f t="shared" si="59"/>
        <v>2.3034341636553168E-2</v>
      </c>
      <c r="N97" s="4">
        <f t="shared" si="59"/>
        <v>1.8007074024907935E-2</v>
      </c>
      <c r="O97" s="4">
        <f t="shared" si="59"/>
        <v>1.4185585812279484E-2</v>
      </c>
      <c r="P97" s="4">
        <f t="shared" si="59"/>
        <v>1.1243363987353339E-2</v>
      </c>
      <c r="Q97" s="4">
        <f t="shared" si="59"/>
        <v>8.9534747322495868E-3</v>
      </c>
      <c r="R97" s="4">
        <f t="shared" si="59"/>
        <v>7.1548829103642159E-3</v>
      </c>
      <c r="S97" s="4">
        <f t="shared" si="59"/>
        <v>5.7312093001928039E-3</v>
      </c>
      <c r="T97" s="4">
        <f t="shared" si="59"/>
        <v>4.5969756657419231E-3</v>
      </c>
      <c r="U97" s="4">
        <f t="shared" si="59"/>
        <v>3.6884884357009989E-3</v>
      </c>
      <c r="V97" s="4">
        <f t="shared" si="59"/>
        <v>2.9576698491390304E-3</v>
      </c>
      <c r="W97" s="4">
        <f t="shared" si="59"/>
        <v>2.3678050071833873E-3</v>
      </c>
      <c r="X97" s="4">
        <f t="shared" si="59"/>
        <v>1.8905600083005676E-3</v>
      </c>
      <c r="Y97" s="4">
        <f t="shared" si="59"/>
        <v>1.5038590986312548E-3</v>
      </c>
      <c r="Z97" s="4">
        <f t="shared" si="59"/>
        <v>1.1903521885741862E-3</v>
      </c>
      <c r="AA97" s="4">
        <f t="shared" si="59"/>
        <v>9.3629437019374713E-4</v>
      </c>
      <c r="AB97" s="4">
        <f t="shared" si="59"/>
        <v>7.3071702264734036E-4</v>
      </c>
      <c r="AC97" s="4">
        <f t="shared" si="59"/>
        <v>5.6480796205389257E-4</v>
      </c>
      <c r="AD97" s="4">
        <f t="shared" si="59"/>
        <v>4.3144324647699343E-4</v>
      </c>
      <c r="AE97" s="4">
        <f t="shared" si="59"/>
        <v>3.2483020853401977E-4</v>
      </c>
      <c r="AF97" s="4">
        <f t="shared" si="59"/>
        <v>2.4023288471159248E-4</v>
      </c>
      <c r="AG97" s="4">
        <f t="shared" si="59"/>
        <v>1.7375903876333781E-4</v>
      </c>
      <c r="AH97" s="4">
        <f t="shared" si="59"/>
        <v>1.2219359563883677E-4</v>
      </c>
      <c r="AI97" s="4">
        <f t="shared" si="59"/>
        <v>8.2867268137093927E-5</v>
      </c>
      <c r="AJ97" s="4">
        <f t="shared" si="59"/>
        <v>5.3551964678081174E-5</v>
      </c>
      <c r="AK97" s="4">
        <f t="shared" si="59"/>
        <v>3.2376525754450179E-5</v>
      </c>
      <c r="AL97" s="4">
        <f t="shared" si="59"/>
        <v>1.7757610941701698E-5</v>
      </c>
      <c r="AM97" s="4">
        <f t="shared" si="59"/>
        <v>8.3411114118826749E-6</v>
      </c>
      <c r="AN97" s="4">
        <f t="shared" si="59"/>
        <v>2.9487445520517712E-6</v>
      </c>
      <c r="AO97" s="4">
        <f t="shared" si="59"/>
        <v>5.1957968558101279E-7</v>
      </c>
    </row>
    <row r="98" spans="1:41" x14ac:dyDescent="0.2">
      <c r="A98" s="2">
        <f t="shared" si="53"/>
        <v>0.10865343289654482</v>
      </c>
      <c r="B98" s="4">
        <f t="shared" ref="B98:AO98" si="60">B54*LN(30*$D28*B$45/$J28)</f>
        <v>2.4075698353097943</v>
      </c>
      <c r="C98" s="4">
        <f t="shared" si="60"/>
        <v>1.0493113382519148</v>
      </c>
      <c r="D98" s="4">
        <f t="shared" si="60"/>
        <v>0.56036090914672265</v>
      </c>
      <c r="E98" s="4">
        <f t="shared" si="60"/>
        <v>0.33622506798531732</v>
      </c>
      <c r="F98" s="4">
        <f t="shared" si="60"/>
        <v>0.21751835170401052</v>
      </c>
      <c r="G98" s="4">
        <f t="shared" si="60"/>
        <v>0.14829611717714802</v>
      </c>
      <c r="H98" s="4">
        <f t="shared" si="60"/>
        <v>0.10505744916602974</v>
      </c>
      <c r="I98" s="4">
        <f t="shared" si="60"/>
        <v>7.6622242228096119E-2</v>
      </c>
      <c r="J98" s="4">
        <f t="shared" si="60"/>
        <v>5.7161088933131939E-2</v>
      </c>
      <c r="K98" s="4">
        <f t="shared" si="60"/>
        <v>4.3412359893021328E-2</v>
      </c>
      <c r="L98" s="4">
        <f t="shared" si="60"/>
        <v>3.3445990400640273E-2</v>
      </c>
      <c r="M98" s="4">
        <f t="shared" si="60"/>
        <v>2.6066591194113933E-2</v>
      </c>
      <c r="N98" s="4">
        <f t="shared" si="60"/>
        <v>2.0505243170955416E-2</v>
      </c>
      <c r="O98" s="4">
        <f t="shared" si="60"/>
        <v>1.6251311049016538E-2</v>
      </c>
      <c r="P98" s="4">
        <f t="shared" si="60"/>
        <v>1.295630979445552E-2</v>
      </c>
      <c r="Q98" s="4">
        <f t="shared" si="60"/>
        <v>1.0376743487599762E-2</v>
      </c>
      <c r="R98" s="4">
        <f t="shared" si="60"/>
        <v>8.3389408980889361E-3</v>
      </c>
      <c r="S98" s="4">
        <f t="shared" si="60"/>
        <v>6.7167721437158328E-3</v>
      </c>
      <c r="T98" s="4">
        <f t="shared" si="60"/>
        <v>5.4171551015567516E-3</v>
      </c>
      <c r="U98" s="4">
        <f t="shared" si="60"/>
        <v>4.3704081901800463E-3</v>
      </c>
      <c r="V98" s="4">
        <f t="shared" si="60"/>
        <v>3.5236952733084461E-3</v>
      </c>
      <c r="W98" s="4">
        <f t="shared" si="60"/>
        <v>2.836488408090687E-3</v>
      </c>
      <c r="X98" s="4">
        <f t="shared" si="60"/>
        <v>2.2773743760140571E-3</v>
      </c>
      <c r="Y98" s="4">
        <f t="shared" si="60"/>
        <v>1.8217726781887425E-3</v>
      </c>
      <c r="Z98" s="4">
        <f t="shared" si="60"/>
        <v>1.4502821577365931E-3</v>
      </c>
      <c r="AA98" s="4">
        <f t="shared" si="60"/>
        <v>1.1474678282620127E-3</v>
      </c>
      <c r="AB98" s="4">
        <f t="shared" si="60"/>
        <v>9.0096029000672167E-4</v>
      </c>
      <c r="AC98" s="4">
        <f t="shared" si="60"/>
        <v>7.0077997174212872E-4</v>
      </c>
      <c r="AD98" s="4">
        <f t="shared" si="60"/>
        <v>5.3882499118072173E-4</v>
      </c>
      <c r="AE98" s="4">
        <f t="shared" si="60"/>
        <v>4.0847938546353257E-4</v>
      </c>
      <c r="AF98" s="4">
        <f t="shared" si="60"/>
        <v>3.0431077606067722E-4</v>
      </c>
      <c r="AG98" s="4">
        <f t="shared" si="60"/>
        <v>2.2183507921546219E-4</v>
      </c>
      <c r="AH98" s="4">
        <f t="shared" si="60"/>
        <v>1.5733186925656349E-4</v>
      </c>
      <c r="AI98" s="4">
        <f t="shared" si="60"/>
        <v>1.076982414580356E-4</v>
      </c>
      <c r="AJ98" s="4">
        <f t="shared" si="60"/>
        <v>7.0332021436488127E-5</v>
      </c>
      <c r="AK98" s="4">
        <f t="shared" si="60"/>
        <v>4.3037252989969402E-5</v>
      </c>
      <c r="AL98" s="4">
        <f t="shared" si="60"/>
        <v>2.3946220701430263E-5</v>
      </c>
      <c r="AM98" s="4">
        <f t="shared" si="60"/>
        <v>1.1452739963204015E-5</v>
      </c>
      <c r="AN98" s="4">
        <f t="shared" si="60"/>
        <v>4.1503183219386444E-6</v>
      </c>
      <c r="AO98" s="4">
        <f t="shared" si="60"/>
        <v>7.6212398154491592E-7</v>
      </c>
    </row>
    <row r="99" spans="1:41" x14ac:dyDescent="0.2">
      <c r="A99" s="2">
        <f t="shared" si="53"/>
        <v>0.1110392881323021</v>
      </c>
      <c r="B99" s="4">
        <f t="shared" ref="B99:AO99" si="61">B55*LN(30*$D29*B$45/$J29)</f>
        <v>2.4075698353097943</v>
      </c>
      <c r="C99" s="4">
        <f t="shared" si="61"/>
        <v>1.0716439631836281</v>
      </c>
      <c r="D99" s="4">
        <f t="shared" si="61"/>
        <v>0.5812403243497587</v>
      </c>
      <c r="E99" s="4">
        <f t="shared" si="61"/>
        <v>0.3531210523375275</v>
      </c>
      <c r="F99" s="4">
        <f t="shared" si="61"/>
        <v>0.23085900616894664</v>
      </c>
      <c r="G99" s="4">
        <f t="shared" si="61"/>
        <v>0.15883796964179939</v>
      </c>
      <c r="H99" s="4">
        <f t="shared" si="61"/>
        <v>0.11344909918690631</v>
      </c>
      <c r="I99" s="4">
        <f t="shared" si="61"/>
        <v>8.3360237330642004E-2</v>
      </c>
      <c r="J99" s="4">
        <f t="shared" si="61"/>
        <v>6.2616192096944856E-2</v>
      </c>
      <c r="K99" s="4">
        <f t="shared" si="61"/>
        <v>4.786144344335181E-2</v>
      </c>
      <c r="L99" s="4">
        <f t="shared" si="61"/>
        <v>3.7097600722582127E-2</v>
      </c>
      <c r="M99" s="4">
        <f t="shared" si="61"/>
        <v>2.9079614311780303E-2</v>
      </c>
      <c r="N99" s="4">
        <f t="shared" si="61"/>
        <v>2.3002192612000854E-2</v>
      </c>
      <c r="O99" s="4">
        <f t="shared" si="61"/>
        <v>1.832776459294045E-2</v>
      </c>
      <c r="P99" s="4">
        <f t="shared" si="61"/>
        <v>1.4687655839621378E-2</v>
      </c>
      <c r="Q99" s="4">
        <f t="shared" si="61"/>
        <v>1.1823054123369496E-2</v>
      </c>
      <c r="R99" s="4">
        <f t="shared" si="61"/>
        <v>9.5485332254335482E-3</v>
      </c>
      <c r="S99" s="4">
        <f t="shared" si="61"/>
        <v>7.7288422426746717E-3</v>
      </c>
      <c r="T99" s="4">
        <f t="shared" si="61"/>
        <v>6.263749042276748E-3</v>
      </c>
      <c r="U99" s="4">
        <f t="shared" si="61"/>
        <v>5.0779135495562884E-3</v>
      </c>
      <c r="V99" s="4">
        <f t="shared" si="61"/>
        <v>4.1139818119833556E-3</v>
      </c>
      <c r="W99" s="4">
        <f t="shared" si="61"/>
        <v>3.327789147252673E-3</v>
      </c>
      <c r="X99" s="4">
        <f t="shared" si="61"/>
        <v>2.6849725148327969E-3</v>
      </c>
      <c r="Y99" s="4">
        <f t="shared" si="61"/>
        <v>2.1585418111604799E-3</v>
      </c>
      <c r="Z99" s="4">
        <f t="shared" si="61"/>
        <v>1.7271145795217187E-3</v>
      </c>
      <c r="AA99" s="4">
        <f t="shared" si="61"/>
        <v>1.3736166860659983E-3</v>
      </c>
      <c r="AB99" s="4">
        <f t="shared" si="61"/>
        <v>1.0843148436222448E-3</v>
      </c>
      <c r="AC99" s="4">
        <f t="shared" si="61"/>
        <v>8.4808849311939155E-4</v>
      </c>
      <c r="AD99" s="4">
        <f t="shared" si="61"/>
        <v>6.5587636171718865E-4</v>
      </c>
      <c r="AE99" s="4">
        <f t="shared" si="61"/>
        <v>5.0025187257321437E-4</v>
      </c>
      <c r="AF99" s="4">
        <f t="shared" si="61"/>
        <v>3.7509454106349698E-4</v>
      </c>
      <c r="AG99" s="4">
        <f t="shared" si="61"/>
        <v>2.7533350935165509E-4</v>
      </c>
      <c r="AH99" s="4">
        <f t="shared" si="61"/>
        <v>1.9674571067841763E-4</v>
      </c>
      <c r="AI99" s="4">
        <f t="shared" si="61"/>
        <v>1.357956439605999E-4</v>
      </c>
      <c r="AJ99" s="4">
        <f t="shared" si="61"/>
        <v>8.9506917275213298E-5</v>
      </c>
      <c r="AK99" s="4">
        <f t="shared" si="61"/>
        <v>5.5357918700214385E-5</v>
      </c>
      <c r="AL99" s="4">
        <f t="shared" si="61"/>
        <v>3.1195341760447513E-5</v>
      </c>
      <c r="AM99" s="4">
        <f t="shared" si="61"/>
        <v>1.5159692136217709E-5</v>
      </c>
      <c r="AN99" s="4">
        <f t="shared" si="61"/>
        <v>5.6153701095644885E-6</v>
      </c>
      <c r="AO99" s="4">
        <f t="shared" si="61"/>
        <v>1.0694999133457172E-6</v>
      </c>
    </row>
    <row r="100" spans="1:41" x14ac:dyDescent="0.2">
      <c r="A100" s="2">
        <f t="shared" si="53"/>
        <v>0.1132700552548038</v>
      </c>
      <c r="B100" s="4">
        <f t="shared" ref="B100:AO100" si="62">B56*LN(30*$D30*B$45/$J30)</f>
        <v>2.4075698353097943</v>
      </c>
      <c r="C100" s="4">
        <f t="shared" si="62"/>
        <v>1.0920778652811522</v>
      </c>
      <c r="D100" s="4">
        <f t="shared" si="62"/>
        <v>0.60062778248756998</v>
      </c>
      <c r="E100" s="4">
        <f t="shared" si="62"/>
        <v>0.36899588639067415</v>
      </c>
      <c r="F100" s="4">
        <f t="shared" si="62"/>
        <v>0.24351864272870516</v>
      </c>
      <c r="G100" s="4">
        <f t="shared" si="62"/>
        <v>0.16892877085278679</v>
      </c>
      <c r="H100" s="4">
        <f t="shared" si="62"/>
        <v>0.12154413023895358</v>
      </c>
      <c r="I100" s="4">
        <f t="shared" si="62"/>
        <v>8.9906010821474355E-2</v>
      </c>
      <c r="J100" s="4">
        <f t="shared" si="62"/>
        <v>6.7950244997418072E-2</v>
      </c>
      <c r="K100" s="4">
        <f t="shared" si="62"/>
        <v>5.2238309128448811E-2</v>
      </c>
      <c r="L100" s="4">
        <f t="shared" si="62"/>
        <v>4.0710589226136462E-2</v>
      </c>
      <c r="M100" s="4">
        <f t="shared" si="62"/>
        <v>3.2077077709607209E-2</v>
      </c>
      <c r="N100" s="4">
        <f t="shared" si="62"/>
        <v>2.5499275565149974E-2</v>
      </c>
      <c r="O100" s="4">
        <f t="shared" si="62"/>
        <v>2.0414840969100484E-2</v>
      </c>
      <c r="P100" s="4">
        <f t="shared" si="62"/>
        <v>1.6436413235517828E-2</v>
      </c>
      <c r="Q100" s="4">
        <f t="shared" si="62"/>
        <v>1.3290921528226137E-2</v>
      </c>
      <c r="R100" s="4">
        <f t="shared" si="62"/>
        <v>1.0781937798317293E-2</v>
      </c>
      <c r="S100" s="4">
        <f t="shared" si="62"/>
        <v>8.765631980888389E-3</v>
      </c>
      <c r="T100" s="4">
        <f t="shared" si="62"/>
        <v>7.1350152179771404E-3</v>
      </c>
      <c r="U100" s="4">
        <f t="shared" si="62"/>
        <v>5.809376487599419E-3</v>
      </c>
      <c r="V100" s="4">
        <f t="shared" si="62"/>
        <v>4.7270554930760322E-3</v>
      </c>
      <c r="W100" s="4">
        <f t="shared" si="62"/>
        <v>3.8404070212802134E-3</v>
      </c>
      <c r="X100" s="4">
        <f t="shared" si="62"/>
        <v>3.112233927627744E-3</v>
      </c>
      <c r="Y100" s="4">
        <f t="shared" si="62"/>
        <v>2.5132223327926505E-3</v>
      </c>
      <c r="Z100" s="4">
        <f t="shared" si="62"/>
        <v>2.0200721046736564E-3</v>
      </c>
      <c r="AA100" s="4">
        <f t="shared" si="62"/>
        <v>1.6141170035847943E-3</v>
      </c>
      <c r="AB100" s="4">
        <f t="shared" si="62"/>
        <v>1.2802944613005845E-3</v>
      </c>
      <c r="AC100" s="4">
        <f t="shared" si="62"/>
        <v>1.0063681863712265E-3</v>
      </c>
      <c r="AD100" s="4">
        <f t="shared" si="62"/>
        <v>7.8233573102060613E-4</v>
      </c>
      <c r="AE100" s="4">
        <f t="shared" si="62"/>
        <v>5.9997282468936947E-4</v>
      </c>
      <c r="AF100" s="4">
        <f t="shared" si="62"/>
        <v>4.5247982865049185E-4</v>
      </c>
      <c r="AG100" s="4">
        <f t="shared" si="62"/>
        <v>3.3420511324925683E-4</v>
      </c>
      <c r="AH100" s="4">
        <f t="shared" si="62"/>
        <v>2.4042681395985629E-4</v>
      </c>
      <c r="AI100" s="4">
        <f t="shared" si="62"/>
        <v>1.6717914212622628E-4</v>
      </c>
      <c r="AJ100" s="4">
        <f t="shared" si="62"/>
        <v>1.1111276921498477E-4</v>
      </c>
      <c r="AK100" s="4">
        <f t="shared" si="62"/>
        <v>6.9381111546644282E-5</v>
      </c>
      <c r="AL100" s="4">
        <f t="shared" si="62"/>
        <v>3.9545755885429839E-5</v>
      </c>
      <c r="AM100" s="4">
        <f t="shared" si="62"/>
        <v>1.9494601025932968E-5</v>
      </c>
      <c r="AN100" s="4">
        <f t="shared" si="62"/>
        <v>7.3643961830645147E-6</v>
      </c>
      <c r="AO100" s="4">
        <f t="shared" si="62"/>
        <v>1.449314053248269E-6</v>
      </c>
    </row>
    <row r="101" spans="1:41" x14ac:dyDescent="0.2">
      <c r="A101" s="2">
        <f t="shared" si="53"/>
        <v>0.11537143987667002</v>
      </c>
      <c r="B101" s="4">
        <f t="shared" ref="B101:AO101" si="63">B57*LN(30*$D31*B$45/$J31)</f>
        <v>2.4075698353097943</v>
      </c>
      <c r="C101" s="4">
        <f t="shared" si="63"/>
        <v>1.1109403954773733</v>
      </c>
      <c r="D101" s="4">
        <f t="shared" si="63"/>
        <v>0.61876336475102767</v>
      </c>
      <c r="E101" s="4">
        <f t="shared" si="63"/>
        <v>0.38400444396532929</v>
      </c>
      <c r="F101" s="4">
        <f t="shared" si="63"/>
        <v>0.25559524323740629</v>
      </c>
      <c r="G101" s="4">
        <f t="shared" si="63"/>
        <v>0.17863037596993087</v>
      </c>
      <c r="H101" s="4">
        <f t="shared" si="63"/>
        <v>0.12938146493374816</v>
      </c>
      <c r="I101" s="4">
        <f t="shared" si="63"/>
        <v>9.6283788111338697E-2</v>
      </c>
      <c r="J101" s="4">
        <f t="shared" si="63"/>
        <v>7.3177964750601746E-2</v>
      </c>
      <c r="K101" s="4">
        <f t="shared" si="63"/>
        <v>5.6551486745802328E-2</v>
      </c>
      <c r="L101" s="4">
        <f t="shared" si="63"/>
        <v>4.4289457373662612E-2</v>
      </c>
      <c r="M101" s="4">
        <f t="shared" si="63"/>
        <v>3.5060877138844482E-2</v>
      </c>
      <c r="N101" s="4">
        <f t="shared" si="63"/>
        <v>2.7996729354438719E-2</v>
      </c>
      <c r="O101" s="4">
        <f t="shared" si="63"/>
        <v>2.2511754263106882E-2</v>
      </c>
      <c r="P101" s="4">
        <f t="shared" si="63"/>
        <v>1.820120002720145E-2</v>
      </c>
      <c r="Q101" s="4">
        <f t="shared" si="63"/>
        <v>1.477865452453081E-2</v>
      </c>
      <c r="R101" s="4">
        <f t="shared" si="63"/>
        <v>1.2037345299473191E-2</v>
      </c>
      <c r="S101" s="4">
        <f t="shared" si="63"/>
        <v>9.8253391715509529E-3</v>
      </c>
      <c r="T101" s="4">
        <f t="shared" si="63"/>
        <v>8.0292383486291266E-3</v>
      </c>
      <c r="U101" s="4">
        <f t="shared" si="63"/>
        <v>6.563216871075658E-3</v>
      </c>
      <c r="V101" s="4">
        <f t="shared" si="63"/>
        <v>5.3614977164215417E-3</v>
      </c>
      <c r="W101" s="4">
        <f t="shared" si="63"/>
        <v>4.373096268565798E-3</v>
      </c>
      <c r="X101" s="4">
        <f t="shared" si="63"/>
        <v>3.5580866859172512E-3</v>
      </c>
      <c r="Y101" s="4">
        <f t="shared" si="63"/>
        <v>2.8849102081914047E-3</v>
      </c>
      <c r="Z101" s="4">
        <f t="shared" si="63"/>
        <v>2.3284081176518871E-3</v>
      </c>
      <c r="AA101" s="4">
        <f t="shared" si="63"/>
        <v>1.8683662841486024E-3</v>
      </c>
      <c r="AB101" s="4">
        <f t="shared" si="63"/>
        <v>1.4884258554883031E-3</v>
      </c>
      <c r="AC101" s="4">
        <f t="shared" si="63"/>
        <v>1.1752593198566961E-3</v>
      </c>
      <c r="AD101" s="4">
        <f t="shared" si="63"/>
        <v>9.1794114103193117E-4</v>
      </c>
      <c r="AE101" s="4">
        <f t="shared" si="63"/>
        <v>7.0746258019584434E-4</v>
      </c>
      <c r="AF101" s="4">
        <f t="shared" si="63"/>
        <v>5.3635440792489293E-4</v>
      </c>
      <c r="AG101" s="4">
        <f t="shared" si="63"/>
        <v>3.9839105287857148E-4</v>
      </c>
      <c r="AH101" s="4">
        <f t="shared" si="63"/>
        <v>2.8835667973308907E-4</v>
      </c>
      <c r="AI101" s="4">
        <f t="shared" si="63"/>
        <v>2.0185862300767815E-4</v>
      </c>
      <c r="AJ101" s="4">
        <f t="shared" si="63"/>
        <v>1.3517710167256471E-4</v>
      </c>
      <c r="AK101" s="4">
        <f t="shared" si="63"/>
        <v>8.5142552533958073E-5</v>
      </c>
      <c r="AL101" s="4">
        <f t="shared" si="63"/>
        <v>4.9033384254228964E-5</v>
      </c>
      <c r="AM101" s="4">
        <f t="shared" si="63"/>
        <v>2.4487248267989904E-5</v>
      </c>
      <c r="AN101" s="4">
        <f t="shared" si="63"/>
        <v>9.416741859080305E-6</v>
      </c>
      <c r="AO101" s="4">
        <f t="shared" si="63"/>
        <v>1.9090662623086125E-6</v>
      </c>
    </row>
    <row r="102" spans="1:41" x14ac:dyDescent="0.2">
      <c r="A102" s="2">
        <f t="shared" si="53"/>
        <v>0</v>
      </c>
      <c r="B102" s="4" t="e">
        <f t="shared" ref="B102:AO102" si="64">B58*LN(30*$D32*B$45/$J32)</f>
        <v>#DIV/0!</v>
      </c>
      <c r="C102" s="4" t="e">
        <f t="shared" si="64"/>
        <v>#DIV/0!</v>
      </c>
      <c r="D102" s="4" t="e">
        <f t="shared" si="64"/>
        <v>#DIV/0!</v>
      </c>
      <c r="E102" s="4" t="e">
        <f t="shared" si="64"/>
        <v>#DIV/0!</v>
      </c>
      <c r="F102" s="4" t="e">
        <f t="shared" si="64"/>
        <v>#DIV/0!</v>
      </c>
      <c r="G102" s="4" t="e">
        <f t="shared" si="64"/>
        <v>#DIV/0!</v>
      </c>
      <c r="H102" s="4" t="e">
        <f t="shared" si="64"/>
        <v>#DIV/0!</v>
      </c>
      <c r="I102" s="4" t="e">
        <f t="shared" si="64"/>
        <v>#DIV/0!</v>
      </c>
      <c r="J102" s="4" t="e">
        <f t="shared" si="64"/>
        <v>#DIV/0!</v>
      </c>
      <c r="K102" s="4" t="e">
        <f t="shared" si="64"/>
        <v>#DIV/0!</v>
      </c>
      <c r="L102" s="4" t="e">
        <f t="shared" si="64"/>
        <v>#DIV/0!</v>
      </c>
      <c r="M102" s="4" t="e">
        <f t="shared" si="64"/>
        <v>#DIV/0!</v>
      </c>
      <c r="N102" s="4" t="e">
        <f t="shared" si="64"/>
        <v>#DIV/0!</v>
      </c>
      <c r="O102" s="4" t="e">
        <f t="shared" si="64"/>
        <v>#DIV/0!</v>
      </c>
      <c r="P102" s="4" t="e">
        <f t="shared" si="64"/>
        <v>#DIV/0!</v>
      </c>
      <c r="Q102" s="4" t="e">
        <f t="shared" si="64"/>
        <v>#DIV/0!</v>
      </c>
      <c r="R102" s="4" t="e">
        <f t="shared" si="64"/>
        <v>#DIV/0!</v>
      </c>
      <c r="S102" s="4" t="e">
        <f t="shared" si="64"/>
        <v>#DIV/0!</v>
      </c>
      <c r="T102" s="4" t="e">
        <f t="shared" si="64"/>
        <v>#DIV/0!</v>
      </c>
      <c r="U102" s="4" t="e">
        <f t="shared" si="64"/>
        <v>#DIV/0!</v>
      </c>
      <c r="V102" s="4" t="e">
        <f t="shared" si="64"/>
        <v>#DIV/0!</v>
      </c>
      <c r="W102" s="4" t="e">
        <f t="shared" si="64"/>
        <v>#DIV/0!</v>
      </c>
      <c r="X102" s="4" t="e">
        <f t="shared" si="64"/>
        <v>#DIV/0!</v>
      </c>
      <c r="Y102" s="4" t="e">
        <f t="shared" si="64"/>
        <v>#DIV/0!</v>
      </c>
      <c r="Z102" s="4" t="e">
        <f t="shared" si="64"/>
        <v>#DIV/0!</v>
      </c>
      <c r="AA102" s="4" t="e">
        <f t="shared" si="64"/>
        <v>#DIV/0!</v>
      </c>
      <c r="AB102" s="4" t="e">
        <f t="shared" si="64"/>
        <v>#DIV/0!</v>
      </c>
      <c r="AC102" s="4" t="e">
        <f t="shared" si="64"/>
        <v>#DIV/0!</v>
      </c>
      <c r="AD102" s="4" t="e">
        <f t="shared" si="64"/>
        <v>#DIV/0!</v>
      </c>
      <c r="AE102" s="4" t="e">
        <f t="shared" si="64"/>
        <v>#DIV/0!</v>
      </c>
      <c r="AF102" s="4" t="e">
        <f t="shared" si="64"/>
        <v>#DIV/0!</v>
      </c>
      <c r="AG102" s="4" t="e">
        <f t="shared" si="64"/>
        <v>#DIV/0!</v>
      </c>
      <c r="AH102" s="4" t="e">
        <f t="shared" si="64"/>
        <v>#DIV/0!</v>
      </c>
      <c r="AI102" s="4" t="e">
        <f t="shared" si="64"/>
        <v>#DIV/0!</v>
      </c>
      <c r="AJ102" s="4" t="e">
        <f t="shared" si="64"/>
        <v>#DIV/0!</v>
      </c>
      <c r="AK102" s="4" t="e">
        <f t="shared" si="64"/>
        <v>#DIV/0!</v>
      </c>
      <c r="AL102" s="4" t="e">
        <f t="shared" si="64"/>
        <v>#DIV/0!</v>
      </c>
      <c r="AM102" s="4" t="e">
        <f t="shared" si="64"/>
        <v>#DIV/0!</v>
      </c>
      <c r="AN102" s="4" t="e">
        <f t="shared" si="64"/>
        <v>#DIV/0!</v>
      </c>
      <c r="AO102" s="4" t="e">
        <f t="shared" si="64"/>
        <v>#DIV/0!</v>
      </c>
    </row>
    <row r="103" spans="1:41" x14ac:dyDescent="0.2">
      <c r="A103" s="2">
        <f t="shared" si="53"/>
        <v>0</v>
      </c>
      <c r="B103" s="4" t="e">
        <f t="shared" ref="B103:AO103" si="65">B59*LN(30*$D33*B$45/$J33)</f>
        <v>#DIV/0!</v>
      </c>
      <c r="C103" s="4" t="e">
        <f t="shared" si="65"/>
        <v>#DIV/0!</v>
      </c>
      <c r="D103" s="4" t="e">
        <f t="shared" si="65"/>
        <v>#DIV/0!</v>
      </c>
      <c r="E103" s="4" t="e">
        <f t="shared" si="65"/>
        <v>#DIV/0!</v>
      </c>
      <c r="F103" s="4" t="e">
        <f t="shared" si="65"/>
        <v>#DIV/0!</v>
      </c>
      <c r="G103" s="4" t="e">
        <f t="shared" si="65"/>
        <v>#DIV/0!</v>
      </c>
      <c r="H103" s="4" t="e">
        <f t="shared" si="65"/>
        <v>#DIV/0!</v>
      </c>
      <c r="I103" s="4" t="e">
        <f t="shared" si="65"/>
        <v>#DIV/0!</v>
      </c>
      <c r="J103" s="4" t="e">
        <f t="shared" si="65"/>
        <v>#DIV/0!</v>
      </c>
      <c r="K103" s="4" t="e">
        <f t="shared" si="65"/>
        <v>#DIV/0!</v>
      </c>
      <c r="L103" s="4" t="e">
        <f t="shared" si="65"/>
        <v>#DIV/0!</v>
      </c>
      <c r="M103" s="4" t="e">
        <f t="shared" si="65"/>
        <v>#DIV/0!</v>
      </c>
      <c r="N103" s="4" t="e">
        <f t="shared" si="65"/>
        <v>#DIV/0!</v>
      </c>
      <c r="O103" s="4" t="e">
        <f t="shared" si="65"/>
        <v>#DIV/0!</v>
      </c>
      <c r="P103" s="4" t="e">
        <f t="shared" si="65"/>
        <v>#DIV/0!</v>
      </c>
      <c r="Q103" s="4" t="e">
        <f t="shared" si="65"/>
        <v>#DIV/0!</v>
      </c>
      <c r="R103" s="4" t="e">
        <f t="shared" si="65"/>
        <v>#DIV/0!</v>
      </c>
      <c r="S103" s="4" t="e">
        <f t="shared" si="65"/>
        <v>#DIV/0!</v>
      </c>
      <c r="T103" s="4" t="e">
        <f t="shared" si="65"/>
        <v>#DIV/0!</v>
      </c>
      <c r="U103" s="4" t="e">
        <f t="shared" si="65"/>
        <v>#DIV/0!</v>
      </c>
      <c r="V103" s="4" t="e">
        <f t="shared" si="65"/>
        <v>#DIV/0!</v>
      </c>
      <c r="W103" s="4" t="e">
        <f t="shared" si="65"/>
        <v>#DIV/0!</v>
      </c>
      <c r="X103" s="4" t="e">
        <f t="shared" si="65"/>
        <v>#DIV/0!</v>
      </c>
      <c r="Y103" s="4" t="e">
        <f t="shared" si="65"/>
        <v>#DIV/0!</v>
      </c>
      <c r="Z103" s="4" t="e">
        <f t="shared" si="65"/>
        <v>#DIV/0!</v>
      </c>
      <c r="AA103" s="4" t="e">
        <f t="shared" si="65"/>
        <v>#DIV/0!</v>
      </c>
      <c r="AB103" s="4" t="e">
        <f t="shared" si="65"/>
        <v>#DIV/0!</v>
      </c>
      <c r="AC103" s="4" t="e">
        <f t="shared" si="65"/>
        <v>#DIV/0!</v>
      </c>
      <c r="AD103" s="4" t="e">
        <f t="shared" si="65"/>
        <v>#DIV/0!</v>
      </c>
      <c r="AE103" s="4" t="e">
        <f t="shared" si="65"/>
        <v>#DIV/0!</v>
      </c>
      <c r="AF103" s="4" t="e">
        <f t="shared" si="65"/>
        <v>#DIV/0!</v>
      </c>
      <c r="AG103" s="4" t="e">
        <f t="shared" si="65"/>
        <v>#DIV/0!</v>
      </c>
      <c r="AH103" s="4" t="e">
        <f t="shared" si="65"/>
        <v>#DIV/0!</v>
      </c>
      <c r="AI103" s="4" t="e">
        <f t="shared" si="65"/>
        <v>#DIV/0!</v>
      </c>
      <c r="AJ103" s="4" t="e">
        <f t="shared" si="65"/>
        <v>#DIV/0!</v>
      </c>
      <c r="AK103" s="4" t="e">
        <f t="shared" si="65"/>
        <v>#DIV/0!</v>
      </c>
      <c r="AL103" s="4" t="e">
        <f t="shared" si="65"/>
        <v>#DIV/0!</v>
      </c>
      <c r="AM103" s="4" t="e">
        <f t="shared" si="65"/>
        <v>#DIV/0!</v>
      </c>
      <c r="AN103" s="4" t="e">
        <f t="shared" si="65"/>
        <v>#DIV/0!</v>
      </c>
      <c r="AO103" s="4" t="e">
        <f t="shared" si="65"/>
        <v>#DIV/0!</v>
      </c>
    </row>
    <row r="104" spans="1:41" x14ac:dyDescent="0.2">
      <c r="A104" s="2">
        <f t="shared" si="53"/>
        <v>0</v>
      </c>
      <c r="B104" s="4" t="e">
        <f t="shared" ref="B104:AO104" si="66">B60*LN(30*$D34*B$45/$J34)</f>
        <v>#DIV/0!</v>
      </c>
      <c r="C104" s="4" t="e">
        <f t="shared" si="66"/>
        <v>#DIV/0!</v>
      </c>
      <c r="D104" s="4" t="e">
        <f t="shared" si="66"/>
        <v>#DIV/0!</v>
      </c>
      <c r="E104" s="4" t="e">
        <f t="shared" si="66"/>
        <v>#DIV/0!</v>
      </c>
      <c r="F104" s="4" t="e">
        <f t="shared" si="66"/>
        <v>#DIV/0!</v>
      </c>
      <c r="G104" s="4" t="e">
        <f t="shared" si="66"/>
        <v>#DIV/0!</v>
      </c>
      <c r="H104" s="4" t="e">
        <f t="shared" si="66"/>
        <v>#DIV/0!</v>
      </c>
      <c r="I104" s="4" t="e">
        <f t="shared" si="66"/>
        <v>#DIV/0!</v>
      </c>
      <c r="J104" s="4" t="e">
        <f t="shared" si="66"/>
        <v>#DIV/0!</v>
      </c>
      <c r="K104" s="4" t="e">
        <f t="shared" si="66"/>
        <v>#DIV/0!</v>
      </c>
      <c r="L104" s="4" t="e">
        <f t="shared" si="66"/>
        <v>#DIV/0!</v>
      </c>
      <c r="M104" s="4" t="e">
        <f t="shared" si="66"/>
        <v>#DIV/0!</v>
      </c>
      <c r="N104" s="4" t="e">
        <f t="shared" si="66"/>
        <v>#DIV/0!</v>
      </c>
      <c r="O104" s="4" t="e">
        <f t="shared" si="66"/>
        <v>#DIV/0!</v>
      </c>
      <c r="P104" s="4" t="e">
        <f t="shared" si="66"/>
        <v>#DIV/0!</v>
      </c>
      <c r="Q104" s="4" t="e">
        <f t="shared" si="66"/>
        <v>#DIV/0!</v>
      </c>
      <c r="R104" s="4" t="e">
        <f t="shared" si="66"/>
        <v>#DIV/0!</v>
      </c>
      <c r="S104" s="4" t="e">
        <f t="shared" si="66"/>
        <v>#DIV/0!</v>
      </c>
      <c r="T104" s="4" t="e">
        <f t="shared" si="66"/>
        <v>#DIV/0!</v>
      </c>
      <c r="U104" s="4" t="e">
        <f t="shared" si="66"/>
        <v>#DIV/0!</v>
      </c>
      <c r="V104" s="4" t="e">
        <f t="shared" si="66"/>
        <v>#DIV/0!</v>
      </c>
      <c r="W104" s="4" t="e">
        <f t="shared" si="66"/>
        <v>#DIV/0!</v>
      </c>
      <c r="X104" s="4" t="e">
        <f t="shared" si="66"/>
        <v>#DIV/0!</v>
      </c>
      <c r="Y104" s="4" t="e">
        <f t="shared" si="66"/>
        <v>#DIV/0!</v>
      </c>
      <c r="Z104" s="4" t="e">
        <f t="shared" si="66"/>
        <v>#DIV/0!</v>
      </c>
      <c r="AA104" s="4" t="e">
        <f t="shared" si="66"/>
        <v>#DIV/0!</v>
      </c>
      <c r="AB104" s="4" t="e">
        <f t="shared" si="66"/>
        <v>#DIV/0!</v>
      </c>
      <c r="AC104" s="4" t="e">
        <f t="shared" si="66"/>
        <v>#DIV/0!</v>
      </c>
      <c r="AD104" s="4" t="e">
        <f t="shared" si="66"/>
        <v>#DIV/0!</v>
      </c>
      <c r="AE104" s="4" t="e">
        <f t="shared" si="66"/>
        <v>#DIV/0!</v>
      </c>
      <c r="AF104" s="4" t="e">
        <f t="shared" si="66"/>
        <v>#DIV/0!</v>
      </c>
      <c r="AG104" s="4" t="e">
        <f t="shared" si="66"/>
        <v>#DIV/0!</v>
      </c>
      <c r="AH104" s="4" t="e">
        <f t="shared" si="66"/>
        <v>#DIV/0!</v>
      </c>
      <c r="AI104" s="4" t="e">
        <f t="shared" si="66"/>
        <v>#DIV/0!</v>
      </c>
      <c r="AJ104" s="4" t="e">
        <f t="shared" si="66"/>
        <v>#DIV/0!</v>
      </c>
      <c r="AK104" s="4" t="e">
        <f t="shared" si="66"/>
        <v>#DIV/0!</v>
      </c>
      <c r="AL104" s="4" t="e">
        <f t="shared" si="66"/>
        <v>#DIV/0!</v>
      </c>
      <c r="AM104" s="4" t="e">
        <f t="shared" si="66"/>
        <v>#DIV/0!</v>
      </c>
      <c r="AN104" s="4" t="e">
        <f t="shared" si="66"/>
        <v>#DIV/0!</v>
      </c>
      <c r="AO104" s="4" t="e">
        <f t="shared" si="66"/>
        <v>#DIV/0!</v>
      </c>
    </row>
    <row r="105" spans="1:41" x14ac:dyDescent="0.2">
      <c r="A105" s="2">
        <f t="shared" si="53"/>
        <v>0</v>
      </c>
      <c r="B105" s="4" t="e">
        <f t="shared" ref="B105:AO105" si="67">B61*LN(30*$D35*B$45/$J35)</f>
        <v>#DIV/0!</v>
      </c>
      <c r="C105" s="4" t="e">
        <f t="shared" si="67"/>
        <v>#DIV/0!</v>
      </c>
      <c r="D105" s="4" t="e">
        <f t="shared" si="67"/>
        <v>#DIV/0!</v>
      </c>
      <c r="E105" s="4" t="e">
        <f t="shared" si="67"/>
        <v>#DIV/0!</v>
      </c>
      <c r="F105" s="4" t="e">
        <f t="shared" si="67"/>
        <v>#DIV/0!</v>
      </c>
      <c r="G105" s="4" t="e">
        <f t="shared" si="67"/>
        <v>#DIV/0!</v>
      </c>
      <c r="H105" s="4" t="e">
        <f t="shared" si="67"/>
        <v>#DIV/0!</v>
      </c>
      <c r="I105" s="4" t="e">
        <f t="shared" si="67"/>
        <v>#DIV/0!</v>
      </c>
      <c r="J105" s="4" t="e">
        <f t="shared" si="67"/>
        <v>#DIV/0!</v>
      </c>
      <c r="K105" s="4" t="e">
        <f t="shared" si="67"/>
        <v>#DIV/0!</v>
      </c>
      <c r="L105" s="4" t="e">
        <f t="shared" si="67"/>
        <v>#DIV/0!</v>
      </c>
      <c r="M105" s="4" t="e">
        <f t="shared" si="67"/>
        <v>#DIV/0!</v>
      </c>
      <c r="N105" s="4" t="e">
        <f t="shared" si="67"/>
        <v>#DIV/0!</v>
      </c>
      <c r="O105" s="4" t="e">
        <f t="shared" si="67"/>
        <v>#DIV/0!</v>
      </c>
      <c r="P105" s="4" t="e">
        <f t="shared" si="67"/>
        <v>#DIV/0!</v>
      </c>
      <c r="Q105" s="4" t="e">
        <f t="shared" si="67"/>
        <v>#DIV/0!</v>
      </c>
      <c r="R105" s="4" t="e">
        <f t="shared" si="67"/>
        <v>#DIV/0!</v>
      </c>
      <c r="S105" s="4" t="e">
        <f t="shared" si="67"/>
        <v>#DIV/0!</v>
      </c>
      <c r="T105" s="4" t="e">
        <f t="shared" si="67"/>
        <v>#DIV/0!</v>
      </c>
      <c r="U105" s="4" t="e">
        <f t="shared" si="67"/>
        <v>#DIV/0!</v>
      </c>
      <c r="V105" s="4" t="e">
        <f t="shared" si="67"/>
        <v>#DIV/0!</v>
      </c>
      <c r="W105" s="4" t="e">
        <f t="shared" si="67"/>
        <v>#DIV/0!</v>
      </c>
      <c r="X105" s="4" t="e">
        <f t="shared" si="67"/>
        <v>#DIV/0!</v>
      </c>
      <c r="Y105" s="4" t="e">
        <f t="shared" si="67"/>
        <v>#DIV/0!</v>
      </c>
      <c r="Z105" s="4" t="e">
        <f t="shared" si="67"/>
        <v>#DIV/0!</v>
      </c>
      <c r="AA105" s="4" t="e">
        <f t="shared" si="67"/>
        <v>#DIV/0!</v>
      </c>
      <c r="AB105" s="4" t="e">
        <f t="shared" si="67"/>
        <v>#DIV/0!</v>
      </c>
      <c r="AC105" s="4" t="e">
        <f t="shared" si="67"/>
        <v>#DIV/0!</v>
      </c>
      <c r="AD105" s="4" t="e">
        <f t="shared" si="67"/>
        <v>#DIV/0!</v>
      </c>
      <c r="AE105" s="4" t="e">
        <f t="shared" si="67"/>
        <v>#DIV/0!</v>
      </c>
      <c r="AF105" s="4" t="e">
        <f t="shared" si="67"/>
        <v>#DIV/0!</v>
      </c>
      <c r="AG105" s="4" t="e">
        <f t="shared" si="67"/>
        <v>#DIV/0!</v>
      </c>
      <c r="AH105" s="4" t="e">
        <f t="shared" si="67"/>
        <v>#DIV/0!</v>
      </c>
      <c r="AI105" s="4" t="e">
        <f t="shared" si="67"/>
        <v>#DIV/0!</v>
      </c>
      <c r="AJ105" s="4" t="e">
        <f t="shared" si="67"/>
        <v>#DIV/0!</v>
      </c>
      <c r="AK105" s="4" t="e">
        <f t="shared" si="67"/>
        <v>#DIV/0!</v>
      </c>
      <c r="AL105" s="4" t="e">
        <f t="shared" si="67"/>
        <v>#DIV/0!</v>
      </c>
      <c r="AM105" s="4" t="e">
        <f t="shared" si="67"/>
        <v>#DIV/0!</v>
      </c>
      <c r="AN105" s="4" t="e">
        <f t="shared" si="67"/>
        <v>#DIV/0!</v>
      </c>
      <c r="AO105" s="4" t="e">
        <f t="shared" si="67"/>
        <v>#DIV/0!</v>
      </c>
    </row>
    <row r="106" spans="1:41" x14ac:dyDescent="0.2">
      <c r="A106" s="2">
        <f t="shared" si="53"/>
        <v>0</v>
      </c>
      <c r="B106" s="4" t="e">
        <f t="shared" ref="B106:AO106" si="68">B62*LN(30*$D36*B$45/$J36)</f>
        <v>#DIV/0!</v>
      </c>
      <c r="C106" s="4" t="e">
        <f t="shared" si="68"/>
        <v>#DIV/0!</v>
      </c>
      <c r="D106" s="4" t="e">
        <f t="shared" si="68"/>
        <v>#DIV/0!</v>
      </c>
      <c r="E106" s="4" t="e">
        <f t="shared" si="68"/>
        <v>#DIV/0!</v>
      </c>
      <c r="F106" s="4" t="e">
        <f t="shared" si="68"/>
        <v>#DIV/0!</v>
      </c>
      <c r="G106" s="4" t="e">
        <f t="shared" si="68"/>
        <v>#DIV/0!</v>
      </c>
      <c r="H106" s="4" t="e">
        <f t="shared" si="68"/>
        <v>#DIV/0!</v>
      </c>
      <c r="I106" s="4" t="e">
        <f t="shared" si="68"/>
        <v>#DIV/0!</v>
      </c>
      <c r="J106" s="4" t="e">
        <f t="shared" si="68"/>
        <v>#DIV/0!</v>
      </c>
      <c r="K106" s="4" t="e">
        <f t="shared" si="68"/>
        <v>#DIV/0!</v>
      </c>
      <c r="L106" s="4" t="e">
        <f t="shared" si="68"/>
        <v>#DIV/0!</v>
      </c>
      <c r="M106" s="4" t="e">
        <f t="shared" si="68"/>
        <v>#DIV/0!</v>
      </c>
      <c r="N106" s="4" t="e">
        <f t="shared" si="68"/>
        <v>#DIV/0!</v>
      </c>
      <c r="O106" s="4" t="e">
        <f t="shared" si="68"/>
        <v>#DIV/0!</v>
      </c>
      <c r="P106" s="4" t="e">
        <f t="shared" si="68"/>
        <v>#DIV/0!</v>
      </c>
      <c r="Q106" s="4" t="e">
        <f t="shared" si="68"/>
        <v>#DIV/0!</v>
      </c>
      <c r="R106" s="4" t="e">
        <f t="shared" si="68"/>
        <v>#DIV/0!</v>
      </c>
      <c r="S106" s="4" t="e">
        <f t="shared" si="68"/>
        <v>#DIV/0!</v>
      </c>
      <c r="T106" s="4" t="e">
        <f t="shared" si="68"/>
        <v>#DIV/0!</v>
      </c>
      <c r="U106" s="4" t="e">
        <f t="shared" si="68"/>
        <v>#DIV/0!</v>
      </c>
      <c r="V106" s="4" t="e">
        <f t="shared" si="68"/>
        <v>#DIV/0!</v>
      </c>
      <c r="W106" s="4" t="e">
        <f t="shared" si="68"/>
        <v>#DIV/0!</v>
      </c>
      <c r="X106" s="4" t="e">
        <f t="shared" si="68"/>
        <v>#DIV/0!</v>
      </c>
      <c r="Y106" s="4" t="e">
        <f t="shared" si="68"/>
        <v>#DIV/0!</v>
      </c>
      <c r="Z106" s="4" t="e">
        <f t="shared" si="68"/>
        <v>#DIV/0!</v>
      </c>
      <c r="AA106" s="4" t="e">
        <f t="shared" si="68"/>
        <v>#DIV/0!</v>
      </c>
      <c r="AB106" s="4" t="e">
        <f t="shared" si="68"/>
        <v>#DIV/0!</v>
      </c>
      <c r="AC106" s="4" t="e">
        <f t="shared" si="68"/>
        <v>#DIV/0!</v>
      </c>
      <c r="AD106" s="4" t="e">
        <f t="shared" si="68"/>
        <v>#DIV/0!</v>
      </c>
      <c r="AE106" s="4" t="e">
        <f t="shared" si="68"/>
        <v>#DIV/0!</v>
      </c>
      <c r="AF106" s="4" t="e">
        <f t="shared" si="68"/>
        <v>#DIV/0!</v>
      </c>
      <c r="AG106" s="4" t="e">
        <f t="shared" si="68"/>
        <v>#DIV/0!</v>
      </c>
      <c r="AH106" s="4" t="e">
        <f t="shared" si="68"/>
        <v>#DIV/0!</v>
      </c>
      <c r="AI106" s="4" t="e">
        <f t="shared" si="68"/>
        <v>#DIV/0!</v>
      </c>
      <c r="AJ106" s="4" t="e">
        <f t="shared" si="68"/>
        <v>#DIV/0!</v>
      </c>
      <c r="AK106" s="4" t="e">
        <f t="shared" si="68"/>
        <v>#DIV/0!</v>
      </c>
      <c r="AL106" s="4" t="e">
        <f t="shared" si="68"/>
        <v>#DIV/0!</v>
      </c>
      <c r="AM106" s="4" t="e">
        <f t="shared" si="68"/>
        <v>#DIV/0!</v>
      </c>
      <c r="AN106" s="4" t="e">
        <f t="shared" si="68"/>
        <v>#DIV/0!</v>
      </c>
      <c r="AO106" s="4" t="e">
        <f t="shared" si="68"/>
        <v>#DIV/0!</v>
      </c>
    </row>
    <row r="107" spans="1:41" x14ac:dyDescent="0.2">
      <c r="A107" s="2">
        <f t="shared" si="53"/>
        <v>0</v>
      </c>
      <c r="B107" s="4" t="e">
        <f t="shared" ref="B107:AO107" si="69">B63*LN(30*$D37*B$45/$J37)</f>
        <v>#DIV/0!</v>
      </c>
      <c r="C107" s="4" t="e">
        <f t="shared" si="69"/>
        <v>#DIV/0!</v>
      </c>
      <c r="D107" s="4" t="e">
        <f t="shared" si="69"/>
        <v>#DIV/0!</v>
      </c>
      <c r="E107" s="4" t="e">
        <f t="shared" si="69"/>
        <v>#DIV/0!</v>
      </c>
      <c r="F107" s="4" t="e">
        <f t="shared" si="69"/>
        <v>#DIV/0!</v>
      </c>
      <c r="G107" s="4" t="e">
        <f t="shared" si="69"/>
        <v>#DIV/0!</v>
      </c>
      <c r="H107" s="4" t="e">
        <f t="shared" si="69"/>
        <v>#DIV/0!</v>
      </c>
      <c r="I107" s="4" t="e">
        <f t="shared" si="69"/>
        <v>#DIV/0!</v>
      </c>
      <c r="J107" s="4" t="e">
        <f t="shared" si="69"/>
        <v>#DIV/0!</v>
      </c>
      <c r="K107" s="4" t="e">
        <f t="shared" si="69"/>
        <v>#DIV/0!</v>
      </c>
      <c r="L107" s="4" t="e">
        <f t="shared" si="69"/>
        <v>#DIV/0!</v>
      </c>
      <c r="M107" s="4" t="e">
        <f t="shared" si="69"/>
        <v>#DIV/0!</v>
      </c>
      <c r="N107" s="4" t="e">
        <f t="shared" si="69"/>
        <v>#DIV/0!</v>
      </c>
      <c r="O107" s="4" t="e">
        <f t="shared" si="69"/>
        <v>#DIV/0!</v>
      </c>
      <c r="P107" s="4" t="e">
        <f t="shared" si="69"/>
        <v>#DIV/0!</v>
      </c>
      <c r="Q107" s="4" t="e">
        <f t="shared" si="69"/>
        <v>#DIV/0!</v>
      </c>
      <c r="R107" s="4" t="e">
        <f t="shared" si="69"/>
        <v>#DIV/0!</v>
      </c>
      <c r="S107" s="4" t="e">
        <f t="shared" si="69"/>
        <v>#DIV/0!</v>
      </c>
      <c r="T107" s="4" t="e">
        <f t="shared" si="69"/>
        <v>#DIV/0!</v>
      </c>
      <c r="U107" s="4" t="e">
        <f t="shared" si="69"/>
        <v>#DIV/0!</v>
      </c>
      <c r="V107" s="4" t="e">
        <f t="shared" si="69"/>
        <v>#DIV/0!</v>
      </c>
      <c r="W107" s="4" t="e">
        <f t="shared" si="69"/>
        <v>#DIV/0!</v>
      </c>
      <c r="X107" s="4" t="e">
        <f t="shared" si="69"/>
        <v>#DIV/0!</v>
      </c>
      <c r="Y107" s="4" t="e">
        <f t="shared" si="69"/>
        <v>#DIV/0!</v>
      </c>
      <c r="Z107" s="4" t="e">
        <f t="shared" si="69"/>
        <v>#DIV/0!</v>
      </c>
      <c r="AA107" s="4" t="e">
        <f t="shared" si="69"/>
        <v>#DIV/0!</v>
      </c>
      <c r="AB107" s="4" t="e">
        <f t="shared" si="69"/>
        <v>#DIV/0!</v>
      </c>
      <c r="AC107" s="4" t="e">
        <f t="shared" si="69"/>
        <v>#DIV/0!</v>
      </c>
      <c r="AD107" s="4" t="e">
        <f t="shared" si="69"/>
        <v>#DIV/0!</v>
      </c>
      <c r="AE107" s="4" t="e">
        <f t="shared" si="69"/>
        <v>#DIV/0!</v>
      </c>
      <c r="AF107" s="4" t="e">
        <f t="shared" si="69"/>
        <v>#DIV/0!</v>
      </c>
      <c r="AG107" s="4" t="e">
        <f t="shared" si="69"/>
        <v>#DIV/0!</v>
      </c>
      <c r="AH107" s="4" t="e">
        <f t="shared" si="69"/>
        <v>#DIV/0!</v>
      </c>
      <c r="AI107" s="4" t="e">
        <f t="shared" si="69"/>
        <v>#DIV/0!</v>
      </c>
      <c r="AJ107" s="4" t="e">
        <f t="shared" si="69"/>
        <v>#DIV/0!</v>
      </c>
      <c r="AK107" s="4" t="e">
        <f t="shared" si="69"/>
        <v>#DIV/0!</v>
      </c>
      <c r="AL107" s="4" t="e">
        <f t="shared" si="69"/>
        <v>#DIV/0!</v>
      </c>
      <c r="AM107" s="4" t="e">
        <f t="shared" si="69"/>
        <v>#DIV/0!</v>
      </c>
      <c r="AN107" s="4" t="e">
        <f t="shared" si="69"/>
        <v>#DIV/0!</v>
      </c>
      <c r="AO107" s="4" t="e">
        <f t="shared" si="69"/>
        <v>#DIV/0!</v>
      </c>
    </row>
    <row r="108" spans="1:41" x14ac:dyDescent="0.2">
      <c r="A108" s="2">
        <f t="shared" si="53"/>
        <v>0</v>
      </c>
      <c r="B108" s="4" t="e">
        <f t="shared" ref="B108:AO108" si="70">B64*LN(30*$D38*B$45/$J38)</f>
        <v>#DIV/0!</v>
      </c>
      <c r="C108" s="4" t="e">
        <f t="shared" si="70"/>
        <v>#DIV/0!</v>
      </c>
      <c r="D108" s="4" t="e">
        <f t="shared" si="70"/>
        <v>#DIV/0!</v>
      </c>
      <c r="E108" s="4" t="e">
        <f t="shared" si="70"/>
        <v>#DIV/0!</v>
      </c>
      <c r="F108" s="4" t="e">
        <f t="shared" si="70"/>
        <v>#DIV/0!</v>
      </c>
      <c r="G108" s="4" t="e">
        <f t="shared" si="70"/>
        <v>#DIV/0!</v>
      </c>
      <c r="H108" s="4" t="e">
        <f t="shared" si="70"/>
        <v>#DIV/0!</v>
      </c>
      <c r="I108" s="4" t="e">
        <f t="shared" si="70"/>
        <v>#DIV/0!</v>
      </c>
      <c r="J108" s="4" t="e">
        <f t="shared" si="70"/>
        <v>#DIV/0!</v>
      </c>
      <c r="K108" s="4" t="e">
        <f t="shared" si="70"/>
        <v>#DIV/0!</v>
      </c>
      <c r="L108" s="4" t="e">
        <f t="shared" si="70"/>
        <v>#DIV/0!</v>
      </c>
      <c r="M108" s="4" t="e">
        <f t="shared" si="70"/>
        <v>#DIV/0!</v>
      </c>
      <c r="N108" s="4" t="e">
        <f t="shared" si="70"/>
        <v>#DIV/0!</v>
      </c>
      <c r="O108" s="4" t="e">
        <f t="shared" si="70"/>
        <v>#DIV/0!</v>
      </c>
      <c r="P108" s="4" t="e">
        <f t="shared" si="70"/>
        <v>#DIV/0!</v>
      </c>
      <c r="Q108" s="4" t="e">
        <f t="shared" si="70"/>
        <v>#DIV/0!</v>
      </c>
      <c r="R108" s="4" t="e">
        <f t="shared" si="70"/>
        <v>#DIV/0!</v>
      </c>
      <c r="S108" s="4" t="e">
        <f t="shared" si="70"/>
        <v>#DIV/0!</v>
      </c>
      <c r="T108" s="4" t="e">
        <f t="shared" si="70"/>
        <v>#DIV/0!</v>
      </c>
      <c r="U108" s="4" t="e">
        <f t="shared" si="70"/>
        <v>#DIV/0!</v>
      </c>
      <c r="V108" s="4" t="e">
        <f t="shared" si="70"/>
        <v>#DIV/0!</v>
      </c>
      <c r="W108" s="4" t="e">
        <f t="shared" si="70"/>
        <v>#DIV/0!</v>
      </c>
      <c r="X108" s="4" t="e">
        <f t="shared" si="70"/>
        <v>#DIV/0!</v>
      </c>
      <c r="Y108" s="4" t="e">
        <f t="shared" si="70"/>
        <v>#DIV/0!</v>
      </c>
      <c r="Z108" s="4" t="e">
        <f t="shared" si="70"/>
        <v>#DIV/0!</v>
      </c>
      <c r="AA108" s="4" t="e">
        <f t="shared" si="70"/>
        <v>#DIV/0!</v>
      </c>
      <c r="AB108" s="4" t="e">
        <f t="shared" si="70"/>
        <v>#DIV/0!</v>
      </c>
      <c r="AC108" s="4" t="e">
        <f t="shared" si="70"/>
        <v>#DIV/0!</v>
      </c>
      <c r="AD108" s="4" t="e">
        <f t="shared" si="70"/>
        <v>#DIV/0!</v>
      </c>
      <c r="AE108" s="4" t="e">
        <f t="shared" si="70"/>
        <v>#DIV/0!</v>
      </c>
      <c r="AF108" s="4" t="e">
        <f t="shared" si="70"/>
        <v>#DIV/0!</v>
      </c>
      <c r="AG108" s="4" t="e">
        <f t="shared" si="70"/>
        <v>#DIV/0!</v>
      </c>
      <c r="AH108" s="4" t="e">
        <f t="shared" si="70"/>
        <v>#DIV/0!</v>
      </c>
      <c r="AI108" s="4" t="e">
        <f t="shared" si="70"/>
        <v>#DIV/0!</v>
      </c>
      <c r="AJ108" s="4" t="e">
        <f t="shared" si="70"/>
        <v>#DIV/0!</v>
      </c>
      <c r="AK108" s="4" t="e">
        <f t="shared" si="70"/>
        <v>#DIV/0!</v>
      </c>
      <c r="AL108" s="4" t="e">
        <f t="shared" si="70"/>
        <v>#DIV/0!</v>
      </c>
      <c r="AM108" s="4" t="e">
        <f t="shared" si="70"/>
        <v>#DIV/0!</v>
      </c>
      <c r="AN108" s="4" t="e">
        <f t="shared" si="70"/>
        <v>#DIV/0!</v>
      </c>
      <c r="AO108" s="4" t="e">
        <f t="shared" si="70"/>
        <v>#DIV/0!</v>
      </c>
    </row>
    <row r="109" spans="1:41" x14ac:dyDescent="0.2">
      <c r="A109" s="2">
        <f t="shared" si="53"/>
        <v>0</v>
      </c>
      <c r="B109" s="4" t="e">
        <f t="shared" ref="B109:AO109" si="71">B65*LN(30*$D39*B$45/$J39)</f>
        <v>#DIV/0!</v>
      </c>
      <c r="C109" s="4" t="e">
        <f t="shared" si="71"/>
        <v>#DIV/0!</v>
      </c>
      <c r="D109" s="4" t="e">
        <f t="shared" si="71"/>
        <v>#DIV/0!</v>
      </c>
      <c r="E109" s="4" t="e">
        <f t="shared" si="71"/>
        <v>#DIV/0!</v>
      </c>
      <c r="F109" s="4" t="e">
        <f t="shared" si="71"/>
        <v>#DIV/0!</v>
      </c>
      <c r="G109" s="4" t="e">
        <f t="shared" si="71"/>
        <v>#DIV/0!</v>
      </c>
      <c r="H109" s="4" t="e">
        <f t="shared" si="71"/>
        <v>#DIV/0!</v>
      </c>
      <c r="I109" s="4" t="e">
        <f t="shared" si="71"/>
        <v>#DIV/0!</v>
      </c>
      <c r="J109" s="4" t="e">
        <f t="shared" si="71"/>
        <v>#DIV/0!</v>
      </c>
      <c r="K109" s="4" t="e">
        <f t="shared" si="71"/>
        <v>#DIV/0!</v>
      </c>
      <c r="L109" s="4" t="e">
        <f t="shared" si="71"/>
        <v>#DIV/0!</v>
      </c>
      <c r="M109" s="4" t="e">
        <f t="shared" si="71"/>
        <v>#DIV/0!</v>
      </c>
      <c r="N109" s="4" t="e">
        <f t="shared" si="71"/>
        <v>#DIV/0!</v>
      </c>
      <c r="O109" s="4" t="e">
        <f t="shared" si="71"/>
        <v>#DIV/0!</v>
      </c>
      <c r="P109" s="4" t="e">
        <f t="shared" si="71"/>
        <v>#DIV/0!</v>
      </c>
      <c r="Q109" s="4" t="e">
        <f t="shared" si="71"/>
        <v>#DIV/0!</v>
      </c>
      <c r="R109" s="4" t="e">
        <f t="shared" si="71"/>
        <v>#DIV/0!</v>
      </c>
      <c r="S109" s="4" t="e">
        <f t="shared" si="71"/>
        <v>#DIV/0!</v>
      </c>
      <c r="T109" s="4" t="e">
        <f t="shared" si="71"/>
        <v>#DIV/0!</v>
      </c>
      <c r="U109" s="4" t="e">
        <f t="shared" si="71"/>
        <v>#DIV/0!</v>
      </c>
      <c r="V109" s="4" t="e">
        <f t="shared" si="71"/>
        <v>#DIV/0!</v>
      </c>
      <c r="W109" s="4" t="e">
        <f t="shared" si="71"/>
        <v>#DIV/0!</v>
      </c>
      <c r="X109" s="4" t="e">
        <f t="shared" si="71"/>
        <v>#DIV/0!</v>
      </c>
      <c r="Y109" s="4" t="e">
        <f t="shared" si="71"/>
        <v>#DIV/0!</v>
      </c>
      <c r="Z109" s="4" t="e">
        <f t="shared" si="71"/>
        <v>#DIV/0!</v>
      </c>
      <c r="AA109" s="4" t="e">
        <f t="shared" si="71"/>
        <v>#DIV/0!</v>
      </c>
      <c r="AB109" s="4" t="e">
        <f t="shared" si="71"/>
        <v>#DIV/0!</v>
      </c>
      <c r="AC109" s="4" t="e">
        <f t="shared" si="71"/>
        <v>#DIV/0!</v>
      </c>
      <c r="AD109" s="4" t="e">
        <f t="shared" si="71"/>
        <v>#DIV/0!</v>
      </c>
      <c r="AE109" s="4" t="e">
        <f t="shared" si="71"/>
        <v>#DIV/0!</v>
      </c>
      <c r="AF109" s="4" t="e">
        <f t="shared" si="71"/>
        <v>#DIV/0!</v>
      </c>
      <c r="AG109" s="4" t="e">
        <f t="shared" si="71"/>
        <v>#DIV/0!</v>
      </c>
      <c r="AH109" s="4" t="e">
        <f t="shared" si="71"/>
        <v>#DIV/0!</v>
      </c>
      <c r="AI109" s="4" t="e">
        <f t="shared" si="71"/>
        <v>#DIV/0!</v>
      </c>
      <c r="AJ109" s="4" t="e">
        <f t="shared" si="71"/>
        <v>#DIV/0!</v>
      </c>
      <c r="AK109" s="4" t="e">
        <f t="shared" si="71"/>
        <v>#DIV/0!</v>
      </c>
      <c r="AL109" s="4" t="e">
        <f t="shared" si="71"/>
        <v>#DIV/0!</v>
      </c>
      <c r="AM109" s="4" t="e">
        <f t="shared" si="71"/>
        <v>#DIV/0!</v>
      </c>
      <c r="AN109" s="4" t="e">
        <f t="shared" si="71"/>
        <v>#DIV/0!</v>
      </c>
      <c r="AO109" s="4" t="e">
        <f t="shared" si="71"/>
        <v>#DIV/0!</v>
      </c>
    </row>
    <row r="110" spans="1:41" x14ac:dyDescent="0.2">
      <c r="A110" s="2">
        <f t="shared" si="53"/>
        <v>0</v>
      </c>
      <c r="B110" s="4" t="e">
        <f t="shared" ref="B110:AO110" si="72">B66*LN(30*$D40*B$45/$J40)</f>
        <v>#DIV/0!</v>
      </c>
      <c r="C110" s="4" t="e">
        <f t="shared" si="72"/>
        <v>#DIV/0!</v>
      </c>
      <c r="D110" s="4" t="e">
        <f t="shared" si="72"/>
        <v>#DIV/0!</v>
      </c>
      <c r="E110" s="4" t="e">
        <f t="shared" si="72"/>
        <v>#DIV/0!</v>
      </c>
      <c r="F110" s="4" t="e">
        <f t="shared" si="72"/>
        <v>#DIV/0!</v>
      </c>
      <c r="G110" s="4" t="e">
        <f t="shared" si="72"/>
        <v>#DIV/0!</v>
      </c>
      <c r="H110" s="4" t="e">
        <f t="shared" si="72"/>
        <v>#DIV/0!</v>
      </c>
      <c r="I110" s="4" t="e">
        <f t="shared" si="72"/>
        <v>#DIV/0!</v>
      </c>
      <c r="J110" s="4" t="e">
        <f t="shared" si="72"/>
        <v>#DIV/0!</v>
      </c>
      <c r="K110" s="4" t="e">
        <f t="shared" si="72"/>
        <v>#DIV/0!</v>
      </c>
      <c r="L110" s="4" t="e">
        <f t="shared" si="72"/>
        <v>#DIV/0!</v>
      </c>
      <c r="M110" s="4" t="e">
        <f t="shared" si="72"/>
        <v>#DIV/0!</v>
      </c>
      <c r="N110" s="4" t="e">
        <f t="shared" si="72"/>
        <v>#DIV/0!</v>
      </c>
      <c r="O110" s="4" t="e">
        <f t="shared" si="72"/>
        <v>#DIV/0!</v>
      </c>
      <c r="P110" s="4" t="e">
        <f t="shared" si="72"/>
        <v>#DIV/0!</v>
      </c>
      <c r="Q110" s="4" t="e">
        <f t="shared" si="72"/>
        <v>#DIV/0!</v>
      </c>
      <c r="R110" s="4" t="e">
        <f t="shared" si="72"/>
        <v>#DIV/0!</v>
      </c>
      <c r="S110" s="4" t="e">
        <f t="shared" si="72"/>
        <v>#DIV/0!</v>
      </c>
      <c r="T110" s="4" t="e">
        <f t="shared" si="72"/>
        <v>#DIV/0!</v>
      </c>
      <c r="U110" s="4" t="e">
        <f t="shared" si="72"/>
        <v>#DIV/0!</v>
      </c>
      <c r="V110" s="4" t="e">
        <f t="shared" si="72"/>
        <v>#DIV/0!</v>
      </c>
      <c r="W110" s="4" t="e">
        <f t="shared" si="72"/>
        <v>#DIV/0!</v>
      </c>
      <c r="X110" s="4" t="e">
        <f t="shared" si="72"/>
        <v>#DIV/0!</v>
      </c>
      <c r="Y110" s="4" t="e">
        <f t="shared" si="72"/>
        <v>#DIV/0!</v>
      </c>
      <c r="Z110" s="4" t="e">
        <f t="shared" si="72"/>
        <v>#DIV/0!</v>
      </c>
      <c r="AA110" s="4" t="e">
        <f t="shared" si="72"/>
        <v>#DIV/0!</v>
      </c>
      <c r="AB110" s="4" t="e">
        <f t="shared" si="72"/>
        <v>#DIV/0!</v>
      </c>
      <c r="AC110" s="4" t="e">
        <f t="shared" si="72"/>
        <v>#DIV/0!</v>
      </c>
      <c r="AD110" s="4" t="e">
        <f t="shared" si="72"/>
        <v>#DIV/0!</v>
      </c>
      <c r="AE110" s="4" t="e">
        <f t="shared" si="72"/>
        <v>#DIV/0!</v>
      </c>
      <c r="AF110" s="4" t="e">
        <f t="shared" si="72"/>
        <v>#DIV/0!</v>
      </c>
      <c r="AG110" s="4" t="e">
        <f t="shared" si="72"/>
        <v>#DIV/0!</v>
      </c>
      <c r="AH110" s="4" t="e">
        <f t="shared" si="72"/>
        <v>#DIV/0!</v>
      </c>
      <c r="AI110" s="4" t="e">
        <f t="shared" si="72"/>
        <v>#DIV/0!</v>
      </c>
      <c r="AJ110" s="4" t="e">
        <f t="shared" si="72"/>
        <v>#DIV/0!</v>
      </c>
      <c r="AK110" s="4" t="e">
        <f t="shared" si="72"/>
        <v>#DIV/0!</v>
      </c>
      <c r="AL110" s="4" t="e">
        <f t="shared" si="72"/>
        <v>#DIV/0!</v>
      </c>
      <c r="AM110" s="4" t="e">
        <f t="shared" si="72"/>
        <v>#DIV/0!</v>
      </c>
      <c r="AN110" s="4" t="e">
        <f t="shared" si="72"/>
        <v>#DIV/0!</v>
      </c>
      <c r="AO110" s="4" t="e">
        <f t="shared" si="72"/>
        <v>#DIV/0!</v>
      </c>
    </row>
    <row r="112" spans="1:41" x14ac:dyDescent="0.2">
      <c r="A112" s="3" t="s">
        <v>35</v>
      </c>
    </row>
    <row r="113" spans="1:42" x14ac:dyDescent="0.2">
      <c r="A113" s="2">
        <f>A91</f>
        <v>5.4030310811624772E-2</v>
      </c>
      <c r="B113" s="1">
        <f t="shared" ref="B113:AO113" si="73">IF(B69=0,0,$U$12)</f>
        <v>0</v>
      </c>
      <c r="C113" s="1">
        <f t="shared" si="73"/>
        <v>0</v>
      </c>
      <c r="D113" s="1">
        <f t="shared" si="73"/>
        <v>0</v>
      </c>
      <c r="E113" s="1">
        <f t="shared" si="73"/>
        <v>0</v>
      </c>
      <c r="F113" s="1">
        <f t="shared" si="73"/>
        <v>0</v>
      </c>
      <c r="G113" s="1">
        <f t="shared" si="73"/>
        <v>0</v>
      </c>
      <c r="H113" s="1">
        <f t="shared" si="73"/>
        <v>0</v>
      </c>
      <c r="I113" s="1">
        <f t="shared" si="73"/>
        <v>0</v>
      </c>
      <c r="J113" s="1">
        <f t="shared" si="73"/>
        <v>0</v>
      </c>
      <c r="K113" s="1">
        <f t="shared" si="73"/>
        <v>0</v>
      </c>
      <c r="L113" s="1">
        <f t="shared" si="73"/>
        <v>0</v>
      </c>
      <c r="M113" s="1">
        <f t="shared" si="73"/>
        <v>0</v>
      </c>
      <c r="N113" s="1">
        <f t="shared" si="73"/>
        <v>0</v>
      </c>
      <c r="O113" s="1">
        <f t="shared" si="73"/>
        <v>0</v>
      </c>
      <c r="P113" s="1">
        <f t="shared" si="73"/>
        <v>0</v>
      </c>
      <c r="Q113" s="1">
        <f t="shared" si="73"/>
        <v>0</v>
      </c>
      <c r="R113" s="1">
        <f t="shared" si="73"/>
        <v>0</v>
      </c>
      <c r="S113" s="1">
        <f t="shared" si="73"/>
        <v>0</v>
      </c>
      <c r="T113" s="1">
        <f t="shared" si="73"/>
        <v>0</v>
      </c>
      <c r="U113" s="1">
        <f t="shared" si="73"/>
        <v>0</v>
      </c>
      <c r="V113" s="1">
        <f t="shared" si="73"/>
        <v>0</v>
      </c>
      <c r="W113" s="1">
        <f t="shared" si="73"/>
        <v>0</v>
      </c>
      <c r="X113" s="1">
        <f t="shared" si="73"/>
        <v>0</v>
      </c>
      <c r="Y113" s="1">
        <f t="shared" si="73"/>
        <v>0</v>
      </c>
      <c r="Z113" s="1">
        <f t="shared" si="73"/>
        <v>0</v>
      </c>
      <c r="AA113" s="1">
        <f t="shared" si="73"/>
        <v>0</v>
      </c>
      <c r="AB113" s="1">
        <f t="shared" si="73"/>
        <v>0</v>
      </c>
      <c r="AC113" s="1">
        <f t="shared" si="73"/>
        <v>0</v>
      </c>
      <c r="AD113" s="1">
        <f t="shared" si="73"/>
        <v>0</v>
      </c>
      <c r="AE113" s="1">
        <f t="shared" si="73"/>
        <v>0</v>
      </c>
      <c r="AF113" s="1">
        <f t="shared" si="73"/>
        <v>0</v>
      </c>
      <c r="AG113" s="1">
        <f t="shared" si="73"/>
        <v>0</v>
      </c>
      <c r="AH113" s="1">
        <f t="shared" si="73"/>
        <v>0</v>
      </c>
      <c r="AI113" s="1">
        <f t="shared" si="73"/>
        <v>0</v>
      </c>
      <c r="AJ113" s="1">
        <f t="shared" si="73"/>
        <v>0</v>
      </c>
      <c r="AK113" s="1">
        <f t="shared" si="73"/>
        <v>0</v>
      </c>
      <c r="AL113" s="1">
        <f t="shared" si="73"/>
        <v>0</v>
      </c>
      <c r="AM113" s="1">
        <f t="shared" si="73"/>
        <v>0</v>
      </c>
      <c r="AN113" s="1">
        <f t="shared" si="73"/>
        <v>0</v>
      </c>
      <c r="AO113" s="1">
        <f t="shared" si="73"/>
        <v>0</v>
      </c>
      <c r="AP113" s="2">
        <f>SUM(B113:AO113)</f>
        <v>0</v>
      </c>
    </row>
    <row r="114" spans="1:42" x14ac:dyDescent="0.2">
      <c r="A114" s="2">
        <f t="shared" ref="A114:A132" si="74">A92</f>
        <v>8.2033922978797094E-2</v>
      </c>
      <c r="B114" s="1">
        <f t="shared" ref="B114:AO114" si="75">IF(B70=0,0,$U$12)</f>
        <v>0</v>
      </c>
      <c r="C114" s="1">
        <f t="shared" si="75"/>
        <v>0</v>
      </c>
      <c r="D114" s="1">
        <f t="shared" si="75"/>
        <v>0</v>
      </c>
      <c r="E114" s="1">
        <f t="shared" si="75"/>
        <v>0</v>
      </c>
      <c r="F114" s="1">
        <f t="shared" si="75"/>
        <v>0</v>
      </c>
      <c r="G114" s="1">
        <f t="shared" si="75"/>
        <v>0</v>
      </c>
      <c r="H114" s="1">
        <f t="shared" si="75"/>
        <v>0</v>
      </c>
      <c r="I114" s="1">
        <f t="shared" si="75"/>
        <v>0</v>
      </c>
      <c r="J114" s="1">
        <f t="shared" si="75"/>
        <v>0</v>
      </c>
      <c r="K114" s="1">
        <f t="shared" si="75"/>
        <v>0</v>
      </c>
      <c r="L114" s="1">
        <f t="shared" si="75"/>
        <v>0</v>
      </c>
      <c r="M114" s="1">
        <f t="shared" si="75"/>
        <v>0</v>
      </c>
      <c r="N114" s="1">
        <f t="shared" si="75"/>
        <v>0</v>
      </c>
      <c r="O114" s="1">
        <f t="shared" si="75"/>
        <v>0</v>
      </c>
      <c r="P114" s="1">
        <f t="shared" si="75"/>
        <v>0</v>
      </c>
      <c r="Q114" s="1">
        <f t="shared" si="75"/>
        <v>0</v>
      </c>
      <c r="R114" s="1">
        <f t="shared" si="75"/>
        <v>0</v>
      </c>
      <c r="S114" s="1">
        <f t="shared" si="75"/>
        <v>0</v>
      </c>
      <c r="T114" s="1">
        <f t="shared" si="75"/>
        <v>0</v>
      </c>
      <c r="U114" s="1">
        <f t="shared" si="75"/>
        <v>0</v>
      </c>
      <c r="V114" s="1">
        <f t="shared" si="75"/>
        <v>0</v>
      </c>
      <c r="W114" s="1">
        <f t="shared" si="75"/>
        <v>0</v>
      </c>
      <c r="X114" s="1">
        <f t="shared" si="75"/>
        <v>0</v>
      </c>
      <c r="Y114" s="1">
        <f t="shared" si="75"/>
        <v>0</v>
      </c>
      <c r="Z114" s="1">
        <f t="shared" si="75"/>
        <v>0</v>
      </c>
      <c r="AA114" s="1">
        <f t="shared" si="75"/>
        <v>0</v>
      </c>
      <c r="AB114" s="1">
        <f t="shared" si="75"/>
        <v>0</v>
      </c>
      <c r="AC114" s="1">
        <f t="shared" si="75"/>
        <v>0</v>
      </c>
      <c r="AD114" s="1">
        <f t="shared" si="75"/>
        <v>0</v>
      </c>
      <c r="AE114" s="1">
        <f t="shared" si="75"/>
        <v>0</v>
      </c>
      <c r="AF114" s="1">
        <f t="shared" si="75"/>
        <v>0</v>
      </c>
      <c r="AG114" s="1">
        <f t="shared" si="75"/>
        <v>0</v>
      </c>
      <c r="AH114" s="1">
        <f t="shared" si="75"/>
        <v>0</v>
      </c>
      <c r="AI114" s="1">
        <f t="shared" si="75"/>
        <v>0</v>
      </c>
      <c r="AJ114" s="1">
        <f t="shared" si="75"/>
        <v>0</v>
      </c>
      <c r="AK114" s="1">
        <f t="shared" si="75"/>
        <v>0</v>
      </c>
      <c r="AL114" s="1">
        <f t="shared" si="75"/>
        <v>0</v>
      </c>
      <c r="AM114" s="1">
        <f t="shared" si="75"/>
        <v>0</v>
      </c>
      <c r="AN114" s="1">
        <f t="shared" si="75"/>
        <v>0</v>
      </c>
      <c r="AO114" s="1">
        <f t="shared" si="75"/>
        <v>0</v>
      </c>
      <c r="AP114" s="2">
        <f t="shared" ref="AP114:AP132" si="76">SUM(B114:AO114)</f>
        <v>0</v>
      </c>
    </row>
    <row r="115" spans="1:42" x14ac:dyDescent="0.2">
      <c r="A115" s="2">
        <f t="shared" si="74"/>
        <v>9.1944415865399087E-2</v>
      </c>
      <c r="B115" s="1">
        <f t="shared" ref="B115:AO115" si="77">IF(B71=0,0,$U$12)</f>
        <v>0</v>
      </c>
      <c r="C115" s="1">
        <f t="shared" si="77"/>
        <v>0</v>
      </c>
      <c r="D115" s="1">
        <f t="shared" si="77"/>
        <v>0</v>
      </c>
      <c r="E115" s="1">
        <f t="shared" si="77"/>
        <v>0</v>
      </c>
      <c r="F115" s="1">
        <f t="shared" si="77"/>
        <v>0</v>
      </c>
      <c r="G115" s="1">
        <f t="shared" si="77"/>
        <v>0</v>
      </c>
      <c r="H115" s="1">
        <f t="shared" si="77"/>
        <v>0</v>
      </c>
      <c r="I115" s="1">
        <f t="shared" si="77"/>
        <v>0</v>
      </c>
      <c r="J115" s="1">
        <f t="shared" si="77"/>
        <v>0</v>
      </c>
      <c r="K115" s="1">
        <f t="shared" si="77"/>
        <v>0</v>
      </c>
      <c r="L115" s="1">
        <f t="shared" si="77"/>
        <v>0</v>
      </c>
      <c r="M115" s="1">
        <f t="shared" si="77"/>
        <v>0</v>
      </c>
      <c r="N115" s="1">
        <f t="shared" si="77"/>
        <v>0</v>
      </c>
      <c r="O115" s="1">
        <f t="shared" si="77"/>
        <v>0</v>
      </c>
      <c r="P115" s="1">
        <f t="shared" si="77"/>
        <v>0</v>
      </c>
      <c r="Q115" s="1">
        <f t="shared" si="77"/>
        <v>0</v>
      </c>
      <c r="R115" s="1">
        <f t="shared" si="77"/>
        <v>0</v>
      </c>
      <c r="S115" s="1">
        <f t="shared" si="77"/>
        <v>0</v>
      </c>
      <c r="T115" s="1">
        <f t="shared" si="77"/>
        <v>0</v>
      </c>
      <c r="U115" s="1">
        <f t="shared" si="77"/>
        <v>0</v>
      </c>
      <c r="V115" s="1">
        <f t="shared" si="77"/>
        <v>0</v>
      </c>
      <c r="W115" s="1">
        <f t="shared" si="77"/>
        <v>0</v>
      </c>
      <c r="X115" s="1">
        <f t="shared" si="77"/>
        <v>0</v>
      </c>
      <c r="Y115" s="1">
        <f t="shared" si="77"/>
        <v>0</v>
      </c>
      <c r="Z115" s="1">
        <f t="shared" si="77"/>
        <v>0</v>
      </c>
      <c r="AA115" s="1">
        <f t="shared" si="77"/>
        <v>0</v>
      </c>
      <c r="AB115" s="1">
        <f t="shared" si="77"/>
        <v>0</v>
      </c>
      <c r="AC115" s="1">
        <f t="shared" si="77"/>
        <v>0</v>
      </c>
      <c r="AD115" s="1">
        <f t="shared" si="77"/>
        <v>0</v>
      </c>
      <c r="AE115" s="1">
        <f t="shared" si="77"/>
        <v>0</v>
      </c>
      <c r="AF115" s="1">
        <f t="shared" si="77"/>
        <v>0</v>
      </c>
      <c r="AG115" s="1">
        <f t="shared" si="77"/>
        <v>0</v>
      </c>
      <c r="AH115" s="1">
        <f t="shared" si="77"/>
        <v>0</v>
      </c>
      <c r="AI115" s="1">
        <f t="shared" si="77"/>
        <v>0</v>
      </c>
      <c r="AJ115" s="1">
        <f t="shared" si="77"/>
        <v>0</v>
      </c>
      <c r="AK115" s="1">
        <f t="shared" si="77"/>
        <v>2.375E-2</v>
      </c>
      <c r="AL115" s="1">
        <f t="shared" si="77"/>
        <v>2.375E-2</v>
      </c>
      <c r="AM115" s="1">
        <f t="shared" si="77"/>
        <v>2.375E-2</v>
      </c>
      <c r="AN115" s="1">
        <f t="shared" si="77"/>
        <v>2.375E-2</v>
      </c>
      <c r="AO115" s="1">
        <f t="shared" si="77"/>
        <v>2.375E-2</v>
      </c>
      <c r="AP115" s="2">
        <f t="shared" si="76"/>
        <v>0.11874999999999999</v>
      </c>
    </row>
    <row r="116" spans="1:42" x14ac:dyDescent="0.2">
      <c r="A116" s="2">
        <f t="shared" si="74"/>
        <v>9.6462480100896211E-2</v>
      </c>
      <c r="B116" s="1">
        <f t="shared" ref="B116:AO116" si="78">IF(B72=0,0,$U$12)</f>
        <v>0</v>
      </c>
      <c r="C116" s="1">
        <f t="shared" si="78"/>
        <v>0</v>
      </c>
      <c r="D116" s="1">
        <f t="shared" si="78"/>
        <v>0</v>
      </c>
      <c r="E116" s="1">
        <f t="shared" si="78"/>
        <v>0</v>
      </c>
      <c r="F116" s="1">
        <f t="shared" si="78"/>
        <v>0</v>
      </c>
      <c r="G116" s="1">
        <f t="shared" si="78"/>
        <v>0</v>
      </c>
      <c r="H116" s="1">
        <f t="shared" si="78"/>
        <v>0</v>
      </c>
      <c r="I116" s="1">
        <f t="shared" si="78"/>
        <v>0</v>
      </c>
      <c r="J116" s="1">
        <f t="shared" si="78"/>
        <v>0</v>
      </c>
      <c r="K116" s="1">
        <f t="shared" si="78"/>
        <v>0</v>
      </c>
      <c r="L116" s="1">
        <f t="shared" si="78"/>
        <v>0</v>
      </c>
      <c r="M116" s="1">
        <f t="shared" si="78"/>
        <v>0</v>
      </c>
      <c r="N116" s="1">
        <f t="shared" si="78"/>
        <v>0</v>
      </c>
      <c r="O116" s="1">
        <f t="shared" si="78"/>
        <v>0</v>
      </c>
      <c r="P116" s="1">
        <f t="shared" si="78"/>
        <v>0</v>
      </c>
      <c r="Q116" s="1">
        <f t="shared" si="78"/>
        <v>0</v>
      </c>
      <c r="R116" s="1">
        <f t="shared" si="78"/>
        <v>0</v>
      </c>
      <c r="S116" s="1">
        <f t="shared" si="78"/>
        <v>0</v>
      </c>
      <c r="T116" s="1">
        <f t="shared" si="78"/>
        <v>0</v>
      </c>
      <c r="U116" s="1">
        <f t="shared" si="78"/>
        <v>0</v>
      </c>
      <c r="V116" s="1">
        <f t="shared" si="78"/>
        <v>0</v>
      </c>
      <c r="W116" s="1">
        <f t="shared" si="78"/>
        <v>0</v>
      </c>
      <c r="X116" s="1">
        <f t="shared" si="78"/>
        <v>0</v>
      </c>
      <c r="Y116" s="1">
        <f t="shared" si="78"/>
        <v>0</v>
      </c>
      <c r="Z116" s="1">
        <f t="shared" si="78"/>
        <v>0</v>
      </c>
      <c r="AA116" s="1">
        <f t="shared" si="78"/>
        <v>0</v>
      </c>
      <c r="AB116" s="1">
        <f t="shared" si="78"/>
        <v>0</v>
      </c>
      <c r="AC116" s="1">
        <f t="shared" si="78"/>
        <v>0</v>
      </c>
      <c r="AD116" s="1">
        <f t="shared" si="78"/>
        <v>0</v>
      </c>
      <c r="AE116" s="1">
        <f t="shared" si="78"/>
        <v>0</v>
      </c>
      <c r="AF116" s="1">
        <f t="shared" si="78"/>
        <v>0</v>
      </c>
      <c r="AG116" s="1">
        <f t="shared" si="78"/>
        <v>0</v>
      </c>
      <c r="AH116" s="1">
        <f t="shared" si="78"/>
        <v>2.375E-2</v>
      </c>
      <c r="AI116" s="1">
        <f t="shared" si="78"/>
        <v>2.375E-2</v>
      </c>
      <c r="AJ116" s="1">
        <f t="shared" si="78"/>
        <v>2.375E-2</v>
      </c>
      <c r="AK116" s="1">
        <f t="shared" si="78"/>
        <v>2.375E-2</v>
      </c>
      <c r="AL116" s="1">
        <f t="shared" si="78"/>
        <v>2.375E-2</v>
      </c>
      <c r="AM116" s="1">
        <f t="shared" si="78"/>
        <v>2.375E-2</v>
      </c>
      <c r="AN116" s="1">
        <f t="shared" si="78"/>
        <v>2.375E-2</v>
      </c>
      <c r="AO116" s="1">
        <f t="shared" si="78"/>
        <v>2.375E-2</v>
      </c>
      <c r="AP116" s="2">
        <f t="shared" si="76"/>
        <v>0.18999999999999997</v>
      </c>
    </row>
    <row r="117" spans="1:42" x14ac:dyDescent="0.2">
      <c r="A117" s="2">
        <f t="shared" si="74"/>
        <v>0.10010376906299254</v>
      </c>
      <c r="B117" s="1">
        <f t="shared" ref="B117:AO117" si="79">IF(B73=0,0,$U$12)</f>
        <v>0</v>
      </c>
      <c r="C117" s="1">
        <f t="shared" si="79"/>
        <v>0</v>
      </c>
      <c r="D117" s="1">
        <f t="shared" si="79"/>
        <v>0</v>
      </c>
      <c r="E117" s="1">
        <f t="shared" si="79"/>
        <v>0</v>
      </c>
      <c r="F117" s="1">
        <f t="shared" si="79"/>
        <v>0</v>
      </c>
      <c r="G117" s="1">
        <f t="shared" si="79"/>
        <v>0</v>
      </c>
      <c r="H117" s="1">
        <f t="shared" si="79"/>
        <v>0</v>
      </c>
      <c r="I117" s="1">
        <f t="shared" si="79"/>
        <v>0</v>
      </c>
      <c r="J117" s="1">
        <f t="shared" si="79"/>
        <v>0</v>
      </c>
      <c r="K117" s="1">
        <f t="shared" si="79"/>
        <v>0</v>
      </c>
      <c r="L117" s="1">
        <f t="shared" si="79"/>
        <v>0</v>
      </c>
      <c r="M117" s="1">
        <f t="shared" si="79"/>
        <v>0</v>
      </c>
      <c r="N117" s="1">
        <f t="shared" si="79"/>
        <v>0</v>
      </c>
      <c r="O117" s="1">
        <f t="shared" si="79"/>
        <v>0</v>
      </c>
      <c r="P117" s="1">
        <f t="shared" si="79"/>
        <v>0</v>
      </c>
      <c r="Q117" s="1">
        <f t="shared" si="79"/>
        <v>0</v>
      </c>
      <c r="R117" s="1">
        <f t="shared" si="79"/>
        <v>0</v>
      </c>
      <c r="S117" s="1">
        <f t="shared" si="79"/>
        <v>0</v>
      </c>
      <c r="T117" s="1">
        <f t="shared" si="79"/>
        <v>0</v>
      </c>
      <c r="U117" s="1">
        <f t="shared" si="79"/>
        <v>0</v>
      </c>
      <c r="V117" s="1">
        <f t="shared" si="79"/>
        <v>0</v>
      </c>
      <c r="W117" s="1">
        <f t="shared" si="79"/>
        <v>0</v>
      </c>
      <c r="X117" s="1">
        <f t="shared" si="79"/>
        <v>0</v>
      </c>
      <c r="Y117" s="1">
        <f t="shared" si="79"/>
        <v>0</v>
      </c>
      <c r="Z117" s="1">
        <f t="shared" si="79"/>
        <v>0</v>
      </c>
      <c r="AA117" s="1">
        <f t="shared" si="79"/>
        <v>0</v>
      </c>
      <c r="AB117" s="1">
        <f t="shared" si="79"/>
        <v>0</v>
      </c>
      <c r="AC117" s="1">
        <f t="shared" si="79"/>
        <v>0</v>
      </c>
      <c r="AD117" s="1">
        <f t="shared" si="79"/>
        <v>0</v>
      </c>
      <c r="AE117" s="1">
        <f t="shared" si="79"/>
        <v>2.375E-2</v>
      </c>
      <c r="AF117" s="1">
        <f t="shared" si="79"/>
        <v>2.375E-2</v>
      </c>
      <c r="AG117" s="1">
        <f t="shared" si="79"/>
        <v>2.375E-2</v>
      </c>
      <c r="AH117" s="1">
        <f t="shared" si="79"/>
        <v>2.375E-2</v>
      </c>
      <c r="AI117" s="1">
        <f t="shared" si="79"/>
        <v>2.375E-2</v>
      </c>
      <c r="AJ117" s="1">
        <f t="shared" si="79"/>
        <v>2.375E-2</v>
      </c>
      <c r="AK117" s="1">
        <f t="shared" si="79"/>
        <v>2.375E-2</v>
      </c>
      <c r="AL117" s="1">
        <f t="shared" si="79"/>
        <v>2.375E-2</v>
      </c>
      <c r="AM117" s="1">
        <f t="shared" si="79"/>
        <v>2.375E-2</v>
      </c>
      <c r="AN117" s="1">
        <f t="shared" si="79"/>
        <v>2.375E-2</v>
      </c>
      <c r="AO117" s="1">
        <f t="shared" si="79"/>
        <v>2.375E-2</v>
      </c>
      <c r="AP117" s="2">
        <f t="shared" si="76"/>
        <v>0.26124999999999998</v>
      </c>
    </row>
    <row r="118" spans="1:42" x14ac:dyDescent="0.2">
      <c r="A118" s="2">
        <f t="shared" si="74"/>
        <v>0.1032553356878641</v>
      </c>
      <c r="B118" s="1">
        <f t="shared" ref="B118:AO118" si="80">IF(B74=0,0,$U$12)</f>
        <v>0</v>
      </c>
      <c r="C118" s="1">
        <f t="shared" si="80"/>
        <v>0</v>
      </c>
      <c r="D118" s="1">
        <f t="shared" si="80"/>
        <v>0</v>
      </c>
      <c r="E118" s="1">
        <f t="shared" si="80"/>
        <v>0</v>
      </c>
      <c r="F118" s="1">
        <f t="shared" si="80"/>
        <v>0</v>
      </c>
      <c r="G118" s="1">
        <f t="shared" si="80"/>
        <v>0</v>
      </c>
      <c r="H118" s="1">
        <f t="shared" si="80"/>
        <v>0</v>
      </c>
      <c r="I118" s="1">
        <f t="shared" si="80"/>
        <v>0</v>
      </c>
      <c r="J118" s="1">
        <f t="shared" si="80"/>
        <v>0</v>
      </c>
      <c r="K118" s="1">
        <f t="shared" si="80"/>
        <v>0</v>
      </c>
      <c r="L118" s="1">
        <f t="shared" si="80"/>
        <v>0</v>
      </c>
      <c r="M118" s="1">
        <f t="shared" si="80"/>
        <v>0</v>
      </c>
      <c r="N118" s="1">
        <f t="shared" si="80"/>
        <v>0</v>
      </c>
      <c r="O118" s="1">
        <f t="shared" si="80"/>
        <v>0</v>
      </c>
      <c r="P118" s="1">
        <f t="shared" si="80"/>
        <v>0</v>
      </c>
      <c r="Q118" s="1">
        <f t="shared" si="80"/>
        <v>0</v>
      </c>
      <c r="R118" s="1">
        <f t="shared" si="80"/>
        <v>0</v>
      </c>
      <c r="S118" s="1">
        <f t="shared" si="80"/>
        <v>0</v>
      </c>
      <c r="T118" s="1">
        <f t="shared" si="80"/>
        <v>0</v>
      </c>
      <c r="U118" s="1">
        <f t="shared" si="80"/>
        <v>0</v>
      </c>
      <c r="V118" s="1">
        <f t="shared" si="80"/>
        <v>0</v>
      </c>
      <c r="W118" s="1">
        <f t="shared" si="80"/>
        <v>0</v>
      </c>
      <c r="X118" s="1">
        <f t="shared" si="80"/>
        <v>0</v>
      </c>
      <c r="Y118" s="1">
        <f t="shared" si="80"/>
        <v>0</v>
      </c>
      <c r="Z118" s="1">
        <f t="shared" si="80"/>
        <v>0</v>
      </c>
      <c r="AA118" s="1">
        <f t="shared" si="80"/>
        <v>0</v>
      </c>
      <c r="AB118" s="1">
        <f t="shared" si="80"/>
        <v>0</v>
      </c>
      <c r="AC118" s="1">
        <f t="shared" si="80"/>
        <v>0</v>
      </c>
      <c r="AD118" s="1">
        <f t="shared" si="80"/>
        <v>2.375E-2</v>
      </c>
      <c r="AE118" s="1">
        <f t="shared" si="80"/>
        <v>2.375E-2</v>
      </c>
      <c r="AF118" s="1">
        <f t="shared" si="80"/>
        <v>2.375E-2</v>
      </c>
      <c r="AG118" s="1">
        <f t="shared" si="80"/>
        <v>2.375E-2</v>
      </c>
      <c r="AH118" s="1">
        <f t="shared" si="80"/>
        <v>2.375E-2</v>
      </c>
      <c r="AI118" s="1">
        <f t="shared" si="80"/>
        <v>2.375E-2</v>
      </c>
      <c r="AJ118" s="1">
        <f t="shared" si="80"/>
        <v>2.375E-2</v>
      </c>
      <c r="AK118" s="1">
        <f t="shared" si="80"/>
        <v>2.375E-2</v>
      </c>
      <c r="AL118" s="1">
        <f t="shared" si="80"/>
        <v>2.375E-2</v>
      </c>
      <c r="AM118" s="1">
        <f t="shared" si="80"/>
        <v>2.375E-2</v>
      </c>
      <c r="AN118" s="1">
        <f t="shared" si="80"/>
        <v>2.375E-2</v>
      </c>
      <c r="AO118" s="1">
        <f t="shared" si="80"/>
        <v>2.375E-2</v>
      </c>
      <c r="AP118" s="2">
        <f t="shared" si="76"/>
        <v>0.28499999999999998</v>
      </c>
    </row>
    <row r="119" spans="1:42" x14ac:dyDescent="0.2">
      <c r="A119" s="2">
        <f t="shared" si="74"/>
        <v>0.10607654542558198</v>
      </c>
      <c r="B119" s="1">
        <f t="shared" ref="B119:AO119" si="81">IF(B75=0,0,$U$12)</f>
        <v>0</v>
      </c>
      <c r="C119" s="1">
        <f t="shared" si="81"/>
        <v>0</v>
      </c>
      <c r="D119" s="1">
        <f t="shared" si="81"/>
        <v>0</v>
      </c>
      <c r="E119" s="1">
        <f t="shared" si="81"/>
        <v>0</v>
      </c>
      <c r="F119" s="1">
        <f t="shared" si="81"/>
        <v>0</v>
      </c>
      <c r="G119" s="1">
        <f t="shared" si="81"/>
        <v>0</v>
      </c>
      <c r="H119" s="1">
        <f t="shared" si="81"/>
        <v>0</v>
      </c>
      <c r="I119" s="1">
        <f t="shared" si="81"/>
        <v>0</v>
      </c>
      <c r="J119" s="1">
        <f t="shared" si="81"/>
        <v>0</v>
      </c>
      <c r="K119" s="1">
        <f t="shared" si="81"/>
        <v>0</v>
      </c>
      <c r="L119" s="1">
        <f t="shared" si="81"/>
        <v>0</v>
      </c>
      <c r="M119" s="1">
        <f t="shared" si="81"/>
        <v>0</v>
      </c>
      <c r="N119" s="1">
        <f t="shared" si="81"/>
        <v>0</v>
      </c>
      <c r="O119" s="1">
        <f t="shared" si="81"/>
        <v>0</v>
      </c>
      <c r="P119" s="1">
        <f t="shared" si="81"/>
        <v>0</v>
      </c>
      <c r="Q119" s="1">
        <f t="shared" si="81"/>
        <v>0</v>
      </c>
      <c r="R119" s="1">
        <f t="shared" si="81"/>
        <v>0</v>
      </c>
      <c r="S119" s="1">
        <f t="shared" si="81"/>
        <v>0</v>
      </c>
      <c r="T119" s="1">
        <f t="shared" si="81"/>
        <v>0</v>
      </c>
      <c r="U119" s="1">
        <f t="shared" si="81"/>
        <v>0</v>
      </c>
      <c r="V119" s="1">
        <f t="shared" si="81"/>
        <v>0</v>
      </c>
      <c r="W119" s="1">
        <f t="shared" si="81"/>
        <v>0</v>
      </c>
      <c r="X119" s="1">
        <f t="shared" si="81"/>
        <v>0</v>
      </c>
      <c r="Y119" s="1">
        <f t="shared" si="81"/>
        <v>0</v>
      </c>
      <c r="Z119" s="1">
        <f t="shared" si="81"/>
        <v>0</v>
      </c>
      <c r="AA119" s="1">
        <f t="shared" si="81"/>
        <v>0</v>
      </c>
      <c r="AB119" s="1">
        <f t="shared" si="81"/>
        <v>2.375E-2</v>
      </c>
      <c r="AC119" s="1">
        <f t="shared" si="81"/>
        <v>2.375E-2</v>
      </c>
      <c r="AD119" s="1">
        <f t="shared" si="81"/>
        <v>2.375E-2</v>
      </c>
      <c r="AE119" s="1">
        <f t="shared" si="81"/>
        <v>2.375E-2</v>
      </c>
      <c r="AF119" s="1">
        <f t="shared" si="81"/>
        <v>2.375E-2</v>
      </c>
      <c r="AG119" s="1">
        <f t="shared" si="81"/>
        <v>2.375E-2</v>
      </c>
      <c r="AH119" s="1">
        <f t="shared" si="81"/>
        <v>2.375E-2</v>
      </c>
      <c r="AI119" s="1">
        <f t="shared" si="81"/>
        <v>2.375E-2</v>
      </c>
      <c r="AJ119" s="1">
        <f t="shared" si="81"/>
        <v>2.375E-2</v>
      </c>
      <c r="AK119" s="1">
        <f t="shared" si="81"/>
        <v>2.375E-2</v>
      </c>
      <c r="AL119" s="1">
        <f t="shared" si="81"/>
        <v>2.375E-2</v>
      </c>
      <c r="AM119" s="1">
        <f t="shared" si="81"/>
        <v>2.375E-2</v>
      </c>
      <c r="AN119" s="1">
        <f t="shared" si="81"/>
        <v>2.375E-2</v>
      </c>
      <c r="AO119" s="1">
        <f t="shared" si="81"/>
        <v>2.375E-2</v>
      </c>
      <c r="AP119" s="2">
        <f t="shared" si="76"/>
        <v>0.33249999999999996</v>
      </c>
    </row>
    <row r="120" spans="1:42" x14ac:dyDescent="0.2">
      <c r="A120" s="2">
        <f t="shared" si="74"/>
        <v>0.10865343289654482</v>
      </c>
      <c r="B120" s="1">
        <f t="shared" ref="B120:AO120" si="82">IF(B76=0,0,$U$12)</f>
        <v>0</v>
      </c>
      <c r="C120" s="1">
        <f t="shared" si="82"/>
        <v>0</v>
      </c>
      <c r="D120" s="1">
        <f t="shared" si="82"/>
        <v>0</v>
      </c>
      <c r="E120" s="1">
        <f t="shared" si="82"/>
        <v>0</v>
      </c>
      <c r="F120" s="1">
        <f t="shared" si="82"/>
        <v>0</v>
      </c>
      <c r="G120" s="1">
        <f t="shared" si="82"/>
        <v>0</v>
      </c>
      <c r="H120" s="1">
        <f t="shared" si="82"/>
        <v>0</v>
      </c>
      <c r="I120" s="1">
        <f t="shared" si="82"/>
        <v>0</v>
      </c>
      <c r="J120" s="1">
        <f t="shared" si="82"/>
        <v>0</v>
      </c>
      <c r="K120" s="1">
        <f t="shared" si="82"/>
        <v>0</v>
      </c>
      <c r="L120" s="1">
        <f t="shared" si="82"/>
        <v>0</v>
      </c>
      <c r="M120" s="1">
        <f t="shared" si="82"/>
        <v>0</v>
      </c>
      <c r="N120" s="1">
        <f t="shared" si="82"/>
        <v>0</v>
      </c>
      <c r="O120" s="1">
        <f t="shared" si="82"/>
        <v>0</v>
      </c>
      <c r="P120" s="1">
        <f t="shared" si="82"/>
        <v>0</v>
      </c>
      <c r="Q120" s="1">
        <f t="shared" si="82"/>
        <v>0</v>
      </c>
      <c r="R120" s="1">
        <f t="shared" si="82"/>
        <v>0</v>
      </c>
      <c r="S120" s="1">
        <f t="shared" si="82"/>
        <v>0</v>
      </c>
      <c r="T120" s="1">
        <f t="shared" si="82"/>
        <v>0</v>
      </c>
      <c r="U120" s="1">
        <f t="shared" si="82"/>
        <v>0</v>
      </c>
      <c r="V120" s="1">
        <f t="shared" si="82"/>
        <v>0</v>
      </c>
      <c r="W120" s="1">
        <f t="shared" si="82"/>
        <v>0</v>
      </c>
      <c r="X120" s="1">
        <f t="shared" si="82"/>
        <v>0</v>
      </c>
      <c r="Y120" s="1">
        <f t="shared" si="82"/>
        <v>0</v>
      </c>
      <c r="Z120" s="1">
        <f t="shared" si="82"/>
        <v>0</v>
      </c>
      <c r="AA120" s="1">
        <f t="shared" si="82"/>
        <v>2.375E-2</v>
      </c>
      <c r="AB120" s="1">
        <f t="shared" si="82"/>
        <v>2.375E-2</v>
      </c>
      <c r="AC120" s="1">
        <f t="shared" si="82"/>
        <v>2.375E-2</v>
      </c>
      <c r="AD120" s="1">
        <f t="shared" si="82"/>
        <v>2.375E-2</v>
      </c>
      <c r="AE120" s="1">
        <f t="shared" si="82"/>
        <v>2.375E-2</v>
      </c>
      <c r="AF120" s="1">
        <f t="shared" si="82"/>
        <v>2.375E-2</v>
      </c>
      <c r="AG120" s="1">
        <f t="shared" si="82"/>
        <v>2.375E-2</v>
      </c>
      <c r="AH120" s="1">
        <f t="shared" si="82"/>
        <v>2.375E-2</v>
      </c>
      <c r="AI120" s="1">
        <f t="shared" si="82"/>
        <v>2.375E-2</v>
      </c>
      <c r="AJ120" s="1">
        <f t="shared" si="82"/>
        <v>2.375E-2</v>
      </c>
      <c r="AK120" s="1">
        <f t="shared" si="82"/>
        <v>2.375E-2</v>
      </c>
      <c r="AL120" s="1">
        <f t="shared" si="82"/>
        <v>2.375E-2</v>
      </c>
      <c r="AM120" s="1">
        <f t="shared" si="82"/>
        <v>2.375E-2</v>
      </c>
      <c r="AN120" s="1">
        <f t="shared" si="82"/>
        <v>2.375E-2</v>
      </c>
      <c r="AO120" s="1">
        <f t="shared" si="82"/>
        <v>2.375E-2</v>
      </c>
      <c r="AP120" s="2">
        <f t="shared" si="76"/>
        <v>0.35624999999999996</v>
      </c>
    </row>
    <row r="121" spans="1:42" x14ac:dyDescent="0.2">
      <c r="A121" s="2">
        <f t="shared" si="74"/>
        <v>0.1110392881323021</v>
      </c>
      <c r="B121" s="1">
        <f t="shared" ref="B121:AO121" si="83">IF(B77=0,0,$U$12)</f>
        <v>0</v>
      </c>
      <c r="C121" s="1">
        <f t="shared" si="83"/>
        <v>0</v>
      </c>
      <c r="D121" s="1">
        <f t="shared" si="83"/>
        <v>0</v>
      </c>
      <c r="E121" s="1">
        <f t="shared" si="83"/>
        <v>0</v>
      </c>
      <c r="F121" s="1">
        <f t="shared" si="83"/>
        <v>0</v>
      </c>
      <c r="G121" s="1">
        <f t="shared" si="83"/>
        <v>0</v>
      </c>
      <c r="H121" s="1">
        <f t="shared" si="83"/>
        <v>0</v>
      </c>
      <c r="I121" s="1">
        <f t="shared" si="83"/>
        <v>0</v>
      </c>
      <c r="J121" s="1">
        <f t="shared" si="83"/>
        <v>0</v>
      </c>
      <c r="K121" s="1">
        <f t="shared" si="83"/>
        <v>0</v>
      </c>
      <c r="L121" s="1">
        <f t="shared" si="83"/>
        <v>0</v>
      </c>
      <c r="M121" s="1">
        <f t="shared" si="83"/>
        <v>0</v>
      </c>
      <c r="N121" s="1">
        <f t="shared" si="83"/>
        <v>0</v>
      </c>
      <c r="O121" s="1">
        <f t="shared" si="83"/>
        <v>0</v>
      </c>
      <c r="P121" s="1">
        <f t="shared" si="83"/>
        <v>0</v>
      </c>
      <c r="Q121" s="1">
        <f t="shared" si="83"/>
        <v>0</v>
      </c>
      <c r="R121" s="1">
        <f t="shared" si="83"/>
        <v>0</v>
      </c>
      <c r="S121" s="1">
        <f t="shared" si="83"/>
        <v>0</v>
      </c>
      <c r="T121" s="1">
        <f t="shared" si="83"/>
        <v>0</v>
      </c>
      <c r="U121" s="1">
        <f t="shared" si="83"/>
        <v>0</v>
      </c>
      <c r="V121" s="1">
        <f t="shared" si="83"/>
        <v>0</v>
      </c>
      <c r="W121" s="1">
        <f t="shared" si="83"/>
        <v>0</v>
      </c>
      <c r="X121" s="1">
        <f t="shared" si="83"/>
        <v>0</v>
      </c>
      <c r="Y121" s="1">
        <f t="shared" si="83"/>
        <v>0</v>
      </c>
      <c r="Z121" s="1">
        <f t="shared" si="83"/>
        <v>2.375E-2</v>
      </c>
      <c r="AA121" s="1">
        <f t="shared" si="83"/>
        <v>2.375E-2</v>
      </c>
      <c r="AB121" s="1">
        <f t="shared" si="83"/>
        <v>2.375E-2</v>
      </c>
      <c r="AC121" s="1">
        <f t="shared" si="83"/>
        <v>2.375E-2</v>
      </c>
      <c r="AD121" s="1">
        <f t="shared" si="83"/>
        <v>2.375E-2</v>
      </c>
      <c r="AE121" s="1">
        <f t="shared" si="83"/>
        <v>2.375E-2</v>
      </c>
      <c r="AF121" s="1">
        <f t="shared" si="83"/>
        <v>2.375E-2</v>
      </c>
      <c r="AG121" s="1">
        <f t="shared" si="83"/>
        <v>2.375E-2</v>
      </c>
      <c r="AH121" s="1">
        <f t="shared" si="83"/>
        <v>2.375E-2</v>
      </c>
      <c r="AI121" s="1">
        <f t="shared" si="83"/>
        <v>2.375E-2</v>
      </c>
      <c r="AJ121" s="1">
        <f t="shared" si="83"/>
        <v>2.375E-2</v>
      </c>
      <c r="AK121" s="1">
        <f t="shared" si="83"/>
        <v>2.375E-2</v>
      </c>
      <c r="AL121" s="1">
        <f t="shared" si="83"/>
        <v>2.375E-2</v>
      </c>
      <c r="AM121" s="1">
        <f t="shared" si="83"/>
        <v>2.375E-2</v>
      </c>
      <c r="AN121" s="1">
        <f t="shared" si="83"/>
        <v>2.375E-2</v>
      </c>
      <c r="AO121" s="1">
        <f t="shared" si="83"/>
        <v>2.375E-2</v>
      </c>
      <c r="AP121" s="2">
        <f t="shared" si="76"/>
        <v>0.37999999999999995</v>
      </c>
    </row>
    <row r="122" spans="1:42" x14ac:dyDescent="0.2">
      <c r="A122" s="2">
        <f t="shared" si="74"/>
        <v>0.1132700552548038</v>
      </c>
      <c r="B122" s="1">
        <f t="shared" ref="B122:AO122" si="84">IF(B78=0,0,$U$12)</f>
        <v>0</v>
      </c>
      <c r="C122" s="1">
        <f t="shared" si="84"/>
        <v>0</v>
      </c>
      <c r="D122" s="1">
        <f t="shared" si="84"/>
        <v>0</v>
      </c>
      <c r="E122" s="1">
        <f t="shared" si="84"/>
        <v>0</v>
      </c>
      <c r="F122" s="1">
        <f t="shared" si="84"/>
        <v>0</v>
      </c>
      <c r="G122" s="1">
        <f t="shared" si="84"/>
        <v>0</v>
      </c>
      <c r="H122" s="1">
        <f t="shared" si="84"/>
        <v>0</v>
      </c>
      <c r="I122" s="1">
        <f t="shared" si="84"/>
        <v>0</v>
      </c>
      <c r="J122" s="1">
        <f t="shared" si="84"/>
        <v>0</v>
      </c>
      <c r="K122" s="1">
        <f t="shared" si="84"/>
        <v>0</v>
      </c>
      <c r="L122" s="1">
        <f t="shared" si="84"/>
        <v>0</v>
      </c>
      <c r="M122" s="1">
        <f t="shared" si="84"/>
        <v>0</v>
      </c>
      <c r="N122" s="1">
        <f t="shared" si="84"/>
        <v>0</v>
      </c>
      <c r="O122" s="1">
        <f t="shared" si="84"/>
        <v>0</v>
      </c>
      <c r="P122" s="1">
        <f t="shared" si="84"/>
        <v>0</v>
      </c>
      <c r="Q122" s="1">
        <f t="shared" si="84"/>
        <v>0</v>
      </c>
      <c r="R122" s="1">
        <f t="shared" si="84"/>
        <v>0</v>
      </c>
      <c r="S122" s="1">
        <f t="shared" si="84"/>
        <v>0</v>
      </c>
      <c r="T122" s="1">
        <f t="shared" si="84"/>
        <v>0</v>
      </c>
      <c r="U122" s="1">
        <f t="shared" si="84"/>
        <v>0</v>
      </c>
      <c r="V122" s="1">
        <f t="shared" si="84"/>
        <v>0</v>
      </c>
      <c r="W122" s="1">
        <f t="shared" si="84"/>
        <v>0</v>
      </c>
      <c r="X122" s="1">
        <f t="shared" si="84"/>
        <v>0</v>
      </c>
      <c r="Y122" s="1">
        <f t="shared" si="84"/>
        <v>2.375E-2</v>
      </c>
      <c r="Z122" s="1">
        <f t="shared" si="84"/>
        <v>2.375E-2</v>
      </c>
      <c r="AA122" s="1">
        <f t="shared" si="84"/>
        <v>2.375E-2</v>
      </c>
      <c r="AB122" s="1">
        <f t="shared" si="84"/>
        <v>2.375E-2</v>
      </c>
      <c r="AC122" s="1">
        <f t="shared" si="84"/>
        <v>2.375E-2</v>
      </c>
      <c r="AD122" s="1">
        <f t="shared" si="84"/>
        <v>2.375E-2</v>
      </c>
      <c r="AE122" s="1">
        <f t="shared" si="84"/>
        <v>2.375E-2</v>
      </c>
      <c r="AF122" s="1">
        <f t="shared" si="84"/>
        <v>2.375E-2</v>
      </c>
      <c r="AG122" s="1">
        <f t="shared" si="84"/>
        <v>2.375E-2</v>
      </c>
      <c r="AH122" s="1">
        <f t="shared" si="84"/>
        <v>2.375E-2</v>
      </c>
      <c r="AI122" s="1">
        <f t="shared" si="84"/>
        <v>2.375E-2</v>
      </c>
      <c r="AJ122" s="1">
        <f t="shared" si="84"/>
        <v>2.375E-2</v>
      </c>
      <c r="AK122" s="1">
        <f t="shared" si="84"/>
        <v>2.375E-2</v>
      </c>
      <c r="AL122" s="1">
        <f t="shared" si="84"/>
        <v>2.375E-2</v>
      </c>
      <c r="AM122" s="1">
        <f t="shared" si="84"/>
        <v>2.375E-2</v>
      </c>
      <c r="AN122" s="1">
        <f t="shared" si="84"/>
        <v>2.375E-2</v>
      </c>
      <c r="AO122" s="1">
        <f t="shared" si="84"/>
        <v>2.375E-2</v>
      </c>
      <c r="AP122" s="2">
        <f t="shared" si="76"/>
        <v>0.40374999999999994</v>
      </c>
    </row>
    <row r="123" spans="1:42" x14ac:dyDescent="0.2">
      <c r="A123" s="2">
        <f t="shared" si="74"/>
        <v>0.11537143987667002</v>
      </c>
      <c r="B123" s="1">
        <f t="shared" ref="B123:AO123" si="85">IF(B79=0,0,$U$12)</f>
        <v>0</v>
      </c>
      <c r="C123" s="1">
        <f t="shared" si="85"/>
        <v>0</v>
      </c>
      <c r="D123" s="1">
        <f t="shared" si="85"/>
        <v>0</v>
      </c>
      <c r="E123" s="1">
        <f t="shared" si="85"/>
        <v>0</v>
      </c>
      <c r="F123" s="1">
        <f t="shared" si="85"/>
        <v>0</v>
      </c>
      <c r="G123" s="1">
        <f t="shared" si="85"/>
        <v>0</v>
      </c>
      <c r="H123" s="1">
        <f t="shared" si="85"/>
        <v>0</v>
      </c>
      <c r="I123" s="1">
        <f t="shared" si="85"/>
        <v>0</v>
      </c>
      <c r="J123" s="1">
        <f t="shared" si="85"/>
        <v>0</v>
      </c>
      <c r="K123" s="1">
        <f t="shared" si="85"/>
        <v>0</v>
      </c>
      <c r="L123" s="1">
        <f t="shared" si="85"/>
        <v>0</v>
      </c>
      <c r="M123" s="1">
        <f t="shared" si="85"/>
        <v>0</v>
      </c>
      <c r="N123" s="1">
        <f t="shared" si="85"/>
        <v>0</v>
      </c>
      <c r="O123" s="1">
        <f t="shared" si="85"/>
        <v>0</v>
      </c>
      <c r="P123" s="1">
        <f t="shared" si="85"/>
        <v>0</v>
      </c>
      <c r="Q123" s="1">
        <f t="shared" si="85"/>
        <v>0</v>
      </c>
      <c r="R123" s="1">
        <f t="shared" si="85"/>
        <v>0</v>
      </c>
      <c r="S123" s="1">
        <f t="shared" si="85"/>
        <v>0</v>
      </c>
      <c r="T123" s="1">
        <f t="shared" si="85"/>
        <v>0</v>
      </c>
      <c r="U123" s="1">
        <f t="shared" si="85"/>
        <v>0</v>
      </c>
      <c r="V123" s="1">
        <f t="shared" si="85"/>
        <v>0</v>
      </c>
      <c r="W123" s="1">
        <f t="shared" si="85"/>
        <v>0</v>
      </c>
      <c r="X123" s="1">
        <f t="shared" si="85"/>
        <v>2.375E-2</v>
      </c>
      <c r="Y123" s="1">
        <f t="shared" si="85"/>
        <v>2.375E-2</v>
      </c>
      <c r="Z123" s="1">
        <f t="shared" si="85"/>
        <v>2.375E-2</v>
      </c>
      <c r="AA123" s="1">
        <f t="shared" si="85"/>
        <v>2.375E-2</v>
      </c>
      <c r="AB123" s="1">
        <f t="shared" si="85"/>
        <v>2.375E-2</v>
      </c>
      <c r="AC123" s="1">
        <f t="shared" si="85"/>
        <v>2.375E-2</v>
      </c>
      <c r="AD123" s="1">
        <f t="shared" si="85"/>
        <v>2.375E-2</v>
      </c>
      <c r="AE123" s="1">
        <f t="shared" si="85"/>
        <v>2.375E-2</v>
      </c>
      <c r="AF123" s="1">
        <f t="shared" si="85"/>
        <v>2.375E-2</v>
      </c>
      <c r="AG123" s="1">
        <f t="shared" si="85"/>
        <v>2.375E-2</v>
      </c>
      <c r="AH123" s="1">
        <f t="shared" si="85"/>
        <v>2.375E-2</v>
      </c>
      <c r="AI123" s="1">
        <f t="shared" si="85"/>
        <v>2.375E-2</v>
      </c>
      <c r="AJ123" s="1">
        <f t="shared" si="85"/>
        <v>2.375E-2</v>
      </c>
      <c r="AK123" s="1">
        <f t="shared" si="85"/>
        <v>2.375E-2</v>
      </c>
      <c r="AL123" s="1">
        <f t="shared" si="85"/>
        <v>2.375E-2</v>
      </c>
      <c r="AM123" s="1">
        <f t="shared" si="85"/>
        <v>2.375E-2</v>
      </c>
      <c r="AN123" s="1">
        <f t="shared" si="85"/>
        <v>2.375E-2</v>
      </c>
      <c r="AO123" s="1">
        <f t="shared" si="85"/>
        <v>2.375E-2</v>
      </c>
      <c r="AP123" s="2">
        <f t="shared" si="76"/>
        <v>0.42749999999999994</v>
      </c>
    </row>
    <row r="124" spans="1:42" x14ac:dyDescent="0.2">
      <c r="A124" s="2">
        <f t="shared" si="74"/>
        <v>0</v>
      </c>
      <c r="B124" s="1" t="e">
        <f t="shared" ref="B124:AO124" si="86">IF(B80=0,0,$U$12)</f>
        <v>#DIV/0!</v>
      </c>
      <c r="C124" s="1" t="e">
        <f t="shared" si="86"/>
        <v>#DIV/0!</v>
      </c>
      <c r="D124" s="1" t="e">
        <f t="shared" si="86"/>
        <v>#DIV/0!</v>
      </c>
      <c r="E124" s="1" t="e">
        <f t="shared" si="86"/>
        <v>#DIV/0!</v>
      </c>
      <c r="F124" s="1" t="e">
        <f t="shared" si="86"/>
        <v>#DIV/0!</v>
      </c>
      <c r="G124" s="1" t="e">
        <f t="shared" si="86"/>
        <v>#DIV/0!</v>
      </c>
      <c r="H124" s="1" t="e">
        <f t="shared" si="86"/>
        <v>#DIV/0!</v>
      </c>
      <c r="I124" s="1" t="e">
        <f t="shared" si="86"/>
        <v>#DIV/0!</v>
      </c>
      <c r="J124" s="1" t="e">
        <f t="shared" si="86"/>
        <v>#DIV/0!</v>
      </c>
      <c r="K124" s="1" t="e">
        <f t="shared" si="86"/>
        <v>#DIV/0!</v>
      </c>
      <c r="L124" s="1" t="e">
        <f t="shared" si="86"/>
        <v>#DIV/0!</v>
      </c>
      <c r="M124" s="1" t="e">
        <f t="shared" si="86"/>
        <v>#DIV/0!</v>
      </c>
      <c r="N124" s="1" t="e">
        <f t="shared" si="86"/>
        <v>#DIV/0!</v>
      </c>
      <c r="O124" s="1" t="e">
        <f t="shared" si="86"/>
        <v>#DIV/0!</v>
      </c>
      <c r="P124" s="1" t="e">
        <f t="shared" si="86"/>
        <v>#DIV/0!</v>
      </c>
      <c r="Q124" s="1" t="e">
        <f t="shared" si="86"/>
        <v>#DIV/0!</v>
      </c>
      <c r="R124" s="1" t="e">
        <f t="shared" si="86"/>
        <v>#DIV/0!</v>
      </c>
      <c r="S124" s="1" t="e">
        <f t="shared" si="86"/>
        <v>#DIV/0!</v>
      </c>
      <c r="T124" s="1" t="e">
        <f t="shared" si="86"/>
        <v>#DIV/0!</v>
      </c>
      <c r="U124" s="1" t="e">
        <f t="shared" si="86"/>
        <v>#DIV/0!</v>
      </c>
      <c r="V124" s="1" t="e">
        <f t="shared" si="86"/>
        <v>#DIV/0!</v>
      </c>
      <c r="W124" s="1" t="e">
        <f t="shared" si="86"/>
        <v>#DIV/0!</v>
      </c>
      <c r="X124" s="1" t="e">
        <f t="shared" si="86"/>
        <v>#DIV/0!</v>
      </c>
      <c r="Y124" s="1" t="e">
        <f t="shared" si="86"/>
        <v>#DIV/0!</v>
      </c>
      <c r="Z124" s="1" t="e">
        <f t="shared" si="86"/>
        <v>#DIV/0!</v>
      </c>
      <c r="AA124" s="1" t="e">
        <f t="shared" si="86"/>
        <v>#DIV/0!</v>
      </c>
      <c r="AB124" s="1" t="e">
        <f t="shared" si="86"/>
        <v>#DIV/0!</v>
      </c>
      <c r="AC124" s="1" t="e">
        <f t="shared" si="86"/>
        <v>#DIV/0!</v>
      </c>
      <c r="AD124" s="1" t="e">
        <f t="shared" si="86"/>
        <v>#DIV/0!</v>
      </c>
      <c r="AE124" s="1" t="e">
        <f t="shared" si="86"/>
        <v>#DIV/0!</v>
      </c>
      <c r="AF124" s="1" t="e">
        <f t="shared" si="86"/>
        <v>#DIV/0!</v>
      </c>
      <c r="AG124" s="1" t="e">
        <f t="shared" si="86"/>
        <v>#DIV/0!</v>
      </c>
      <c r="AH124" s="1" t="e">
        <f t="shared" si="86"/>
        <v>#DIV/0!</v>
      </c>
      <c r="AI124" s="1" t="e">
        <f t="shared" si="86"/>
        <v>#DIV/0!</v>
      </c>
      <c r="AJ124" s="1" t="e">
        <f t="shared" si="86"/>
        <v>#DIV/0!</v>
      </c>
      <c r="AK124" s="1" t="e">
        <f t="shared" si="86"/>
        <v>#DIV/0!</v>
      </c>
      <c r="AL124" s="1" t="e">
        <f t="shared" si="86"/>
        <v>#DIV/0!</v>
      </c>
      <c r="AM124" s="1" t="e">
        <f t="shared" si="86"/>
        <v>#DIV/0!</v>
      </c>
      <c r="AN124" s="1" t="e">
        <f t="shared" si="86"/>
        <v>#DIV/0!</v>
      </c>
      <c r="AO124" s="1" t="e">
        <f t="shared" si="86"/>
        <v>#DIV/0!</v>
      </c>
      <c r="AP124" s="2" t="e">
        <f t="shared" si="76"/>
        <v>#DIV/0!</v>
      </c>
    </row>
    <row r="125" spans="1:42" x14ac:dyDescent="0.2">
      <c r="A125" s="2">
        <f t="shared" si="74"/>
        <v>0</v>
      </c>
      <c r="B125" s="1" t="e">
        <f t="shared" ref="B125:AO125" si="87">IF(B81=0,0,$U$12)</f>
        <v>#DIV/0!</v>
      </c>
      <c r="C125" s="1" t="e">
        <f t="shared" si="87"/>
        <v>#DIV/0!</v>
      </c>
      <c r="D125" s="1" t="e">
        <f t="shared" si="87"/>
        <v>#DIV/0!</v>
      </c>
      <c r="E125" s="1" t="e">
        <f t="shared" si="87"/>
        <v>#DIV/0!</v>
      </c>
      <c r="F125" s="1" t="e">
        <f t="shared" si="87"/>
        <v>#DIV/0!</v>
      </c>
      <c r="G125" s="1" t="e">
        <f t="shared" si="87"/>
        <v>#DIV/0!</v>
      </c>
      <c r="H125" s="1" t="e">
        <f t="shared" si="87"/>
        <v>#DIV/0!</v>
      </c>
      <c r="I125" s="1" t="e">
        <f t="shared" si="87"/>
        <v>#DIV/0!</v>
      </c>
      <c r="J125" s="1" t="e">
        <f t="shared" si="87"/>
        <v>#DIV/0!</v>
      </c>
      <c r="K125" s="1" t="e">
        <f t="shared" si="87"/>
        <v>#DIV/0!</v>
      </c>
      <c r="L125" s="1" t="e">
        <f t="shared" si="87"/>
        <v>#DIV/0!</v>
      </c>
      <c r="M125" s="1" t="e">
        <f t="shared" si="87"/>
        <v>#DIV/0!</v>
      </c>
      <c r="N125" s="1" t="e">
        <f t="shared" si="87"/>
        <v>#DIV/0!</v>
      </c>
      <c r="O125" s="1" t="e">
        <f t="shared" si="87"/>
        <v>#DIV/0!</v>
      </c>
      <c r="P125" s="1" t="e">
        <f t="shared" si="87"/>
        <v>#DIV/0!</v>
      </c>
      <c r="Q125" s="1" t="e">
        <f t="shared" si="87"/>
        <v>#DIV/0!</v>
      </c>
      <c r="R125" s="1" t="e">
        <f t="shared" si="87"/>
        <v>#DIV/0!</v>
      </c>
      <c r="S125" s="1" t="e">
        <f t="shared" si="87"/>
        <v>#DIV/0!</v>
      </c>
      <c r="T125" s="1" t="e">
        <f t="shared" si="87"/>
        <v>#DIV/0!</v>
      </c>
      <c r="U125" s="1" t="e">
        <f t="shared" si="87"/>
        <v>#DIV/0!</v>
      </c>
      <c r="V125" s="1" t="e">
        <f t="shared" si="87"/>
        <v>#DIV/0!</v>
      </c>
      <c r="W125" s="1" t="e">
        <f t="shared" si="87"/>
        <v>#DIV/0!</v>
      </c>
      <c r="X125" s="1" t="e">
        <f t="shared" si="87"/>
        <v>#DIV/0!</v>
      </c>
      <c r="Y125" s="1" t="e">
        <f t="shared" si="87"/>
        <v>#DIV/0!</v>
      </c>
      <c r="Z125" s="1" t="e">
        <f t="shared" si="87"/>
        <v>#DIV/0!</v>
      </c>
      <c r="AA125" s="1" t="e">
        <f t="shared" si="87"/>
        <v>#DIV/0!</v>
      </c>
      <c r="AB125" s="1" t="e">
        <f t="shared" si="87"/>
        <v>#DIV/0!</v>
      </c>
      <c r="AC125" s="1" t="e">
        <f t="shared" si="87"/>
        <v>#DIV/0!</v>
      </c>
      <c r="AD125" s="1" t="e">
        <f t="shared" si="87"/>
        <v>#DIV/0!</v>
      </c>
      <c r="AE125" s="1" t="e">
        <f t="shared" si="87"/>
        <v>#DIV/0!</v>
      </c>
      <c r="AF125" s="1" t="e">
        <f t="shared" si="87"/>
        <v>#DIV/0!</v>
      </c>
      <c r="AG125" s="1" t="e">
        <f t="shared" si="87"/>
        <v>#DIV/0!</v>
      </c>
      <c r="AH125" s="1" t="e">
        <f t="shared" si="87"/>
        <v>#DIV/0!</v>
      </c>
      <c r="AI125" s="1" t="e">
        <f t="shared" si="87"/>
        <v>#DIV/0!</v>
      </c>
      <c r="AJ125" s="1" t="e">
        <f t="shared" si="87"/>
        <v>#DIV/0!</v>
      </c>
      <c r="AK125" s="1" t="e">
        <f t="shared" si="87"/>
        <v>#DIV/0!</v>
      </c>
      <c r="AL125" s="1" t="e">
        <f t="shared" si="87"/>
        <v>#DIV/0!</v>
      </c>
      <c r="AM125" s="1" t="e">
        <f t="shared" si="87"/>
        <v>#DIV/0!</v>
      </c>
      <c r="AN125" s="1" t="e">
        <f t="shared" si="87"/>
        <v>#DIV/0!</v>
      </c>
      <c r="AO125" s="1" t="e">
        <f t="shared" si="87"/>
        <v>#DIV/0!</v>
      </c>
      <c r="AP125" s="2" t="e">
        <f t="shared" si="76"/>
        <v>#DIV/0!</v>
      </c>
    </row>
    <row r="126" spans="1:42" x14ac:dyDescent="0.2">
      <c r="A126" s="2">
        <f t="shared" si="74"/>
        <v>0</v>
      </c>
      <c r="B126" s="1" t="e">
        <f t="shared" ref="B126:AO126" si="88">IF(B82=0,0,$U$12)</f>
        <v>#DIV/0!</v>
      </c>
      <c r="C126" s="1" t="e">
        <f t="shared" si="88"/>
        <v>#DIV/0!</v>
      </c>
      <c r="D126" s="1" t="e">
        <f t="shared" si="88"/>
        <v>#DIV/0!</v>
      </c>
      <c r="E126" s="1" t="e">
        <f t="shared" si="88"/>
        <v>#DIV/0!</v>
      </c>
      <c r="F126" s="1" t="e">
        <f t="shared" si="88"/>
        <v>#DIV/0!</v>
      </c>
      <c r="G126" s="1" t="e">
        <f t="shared" si="88"/>
        <v>#DIV/0!</v>
      </c>
      <c r="H126" s="1" t="e">
        <f t="shared" si="88"/>
        <v>#DIV/0!</v>
      </c>
      <c r="I126" s="1" t="e">
        <f t="shared" si="88"/>
        <v>#DIV/0!</v>
      </c>
      <c r="J126" s="1" t="e">
        <f t="shared" si="88"/>
        <v>#DIV/0!</v>
      </c>
      <c r="K126" s="1" t="e">
        <f t="shared" si="88"/>
        <v>#DIV/0!</v>
      </c>
      <c r="L126" s="1" t="e">
        <f t="shared" si="88"/>
        <v>#DIV/0!</v>
      </c>
      <c r="M126" s="1" t="e">
        <f t="shared" si="88"/>
        <v>#DIV/0!</v>
      </c>
      <c r="N126" s="1" t="e">
        <f t="shared" si="88"/>
        <v>#DIV/0!</v>
      </c>
      <c r="O126" s="1" t="e">
        <f t="shared" si="88"/>
        <v>#DIV/0!</v>
      </c>
      <c r="P126" s="1" t="e">
        <f t="shared" si="88"/>
        <v>#DIV/0!</v>
      </c>
      <c r="Q126" s="1" t="e">
        <f t="shared" si="88"/>
        <v>#DIV/0!</v>
      </c>
      <c r="R126" s="1" t="e">
        <f t="shared" si="88"/>
        <v>#DIV/0!</v>
      </c>
      <c r="S126" s="1" t="e">
        <f t="shared" si="88"/>
        <v>#DIV/0!</v>
      </c>
      <c r="T126" s="1" t="e">
        <f t="shared" si="88"/>
        <v>#DIV/0!</v>
      </c>
      <c r="U126" s="1" t="e">
        <f t="shared" si="88"/>
        <v>#DIV/0!</v>
      </c>
      <c r="V126" s="1" t="e">
        <f t="shared" si="88"/>
        <v>#DIV/0!</v>
      </c>
      <c r="W126" s="1" t="e">
        <f t="shared" si="88"/>
        <v>#DIV/0!</v>
      </c>
      <c r="X126" s="1" t="e">
        <f t="shared" si="88"/>
        <v>#DIV/0!</v>
      </c>
      <c r="Y126" s="1" t="e">
        <f t="shared" si="88"/>
        <v>#DIV/0!</v>
      </c>
      <c r="Z126" s="1" t="e">
        <f t="shared" si="88"/>
        <v>#DIV/0!</v>
      </c>
      <c r="AA126" s="1" t="e">
        <f t="shared" si="88"/>
        <v>#DIV/0!</v>
      </c>
      <c r="AB126" s="1" t="e">
        <f t="shared" si="88"/>
        <v>#DIV/0!</v>
      </c>
      <c r="AC126" s="1" t="e">
        <f t="shared" si="88"/>
        <v>#DIV/0!</v>
      </c>
      <c r="AD126" s="1" t="e">
        <f t="shared" si="88"/>
        <v>#DIV/0!</v>
      </c>
      <c r="AE126" s="1" t="e">
        <f t="shared" si="88"/>
        <v>#DIV/0!</v>
      </c>
      <c r="AF126" s="1" t="e">
        <f t="shared" si="88"/>
        <v>#DIV/0!</v>
      </c>
      <c r="AG126" s="1" t="e">
        <f t="shared" si="88"/>
        <v>#DIV/0!</v>
      </c>
      <c r="AH126" s="1" t="e">
        <f t="shared" si="88"/>
        <v>#DIV/0!</v>
      </c>
      <c r="AI126" s="1" t="e">
        <f t="shared" si="88"/>
        <v>#DIV/0!</v>
      </c>
      <c r="AJ126" s="1" t="e">
        <f t="shared" si="88"/>
        <v>#DIV/0!</v>
      </c>
      <c r="AK126" s="1" t="e">
        <f t="shared" si="88"/>
        <v>#DIV/0!</v>
      </c>
      <c r="AL126" s="1" t="e">
        <f t="shared" si="88"/>
        <v>#DIV/0!</v>
      </c>
      <c r="AM126" s="1" t="e">
        <f t="shared" si="88"/>
        <v>#DIV/0!</v>
      </c>
      <c r="AN126" s="1" t="e">
        <f t="shared" si="88"/>
        <v>#DIV/0!</v>
      </c>
      <c r="AO126" s="1" t="e">
        <f t="shared" si="88"/>
        <v>#DIV/0!</v>
      </c>
      <c r="AP126" s="2" t="e">
        <f t="shared" si="76"/>
        <v>#DIV/0!</v>
      </c>
    </row>
    <row r="127" spans="1:42" x14ac:dyDescent="0.2">
      <c r="A127" s="2">
        <f t="shared" si="74"/>
        <v>0</v>
      </c>
      <c r="B127" s="1" t="e">
        <f t="shared" ref="B127:AO127" si="89">IF(B83=0,0,$U$12)</f>
        <v>#DIV/0!</v>
      </c>
      <c r="C127" s="1" t="e">
        <f t="shared" si="89"/>
        <v>#DIV/0!</v>
      </c>
      <c r="D127" s="1" t="e">
        <f t="shared" si="89"/>
        <v>#DIV/0!</v>
      </c>
      <c r="E127" s="1" t="e">
        <f t="shared" si="89"/>
        <v>#DIV/0!</v>
      </c>
      <c r="F127" s="1" t="e">
        <f t="shared" si="89"/>
        <v>#DIV/0!</v>
      </c>
      <c r="G127" s="1" t="e">
        <f t="shared" si="89"/>
        <v>#DIV/0!</v>
      </c>
      <c r="H127" s="1" t="e">
        <f t="shared" si="89"/>
        <v>#DIV/0!</v>
      </c>
      <c r="I127" s="1" t="e">
        <f t="shared" si="89"/>
        <v>#DIV/0!</v>
      </c>
      <c r="J127" s="1" t="e">
        <f t="shared" si="89"/>
        <v>#DIV/0!</v>
      </c>
      <c r="K127" s="1" t="e">
        <f t="shared" si="89"/>
        <v>#DIV/0!</v>
      </c>
      <c r="L127" s="1" t="e">
        <f t="shared" si="89"/>
        <v>#DIV/0!</v>
      </c>
      <c r="M127" s="1" t="e">
        <f t="shared" si="89"/>
        <v>#DIV/0!</v>
      </c>
      <c r="N127" s="1" t="e">
        <f t="shared" si="89"/>
        <v>#DIV/0!</v>
      </c>
      <c r="O127" s="1" t="e">
        <f t="shared" si="89"/>
        <v>#DIV/0!</v>
      </c>
      <c r="P127" s="1" t="e">
        <f t="shared" si="89"/>
        <v>#DIV/0!</v>
      </c>
      <c r="Q127" s="1" t="e">
        <f t="shared" si="89"/>
        <v>#DIV/0!</v>
      </c>
      <c r="R127" s="1" t="e">
        <f t="shared" si="89"/>
        <v>#DIV/0!</v>
      </c>
      <c r="S127" s="1" t="e">
        <f t="shared" si="89"/>
        <v>#DIV/0!</v>
      </c>
      <c r="T127" s="1" t="e">
        <f t="shared" si="89"/>
        <v>#DIV/0!</v>
      </c>
      <c r="U127" s="1" t="e">
        <f t="shared" si="89"/>
        <v>#DIV/0!</v>
      </c>
      <c r="V127" s="1" t="e">
        <f t="shared" si="89"/>
        <v>#DIV/0!</v>
      </c>
      <c r="W127" s="1" t="e">
        <f t="shared" si="89"/>
        <v>#DIV/0!</v>
      </c>
      <c r="X127" s="1" t="e">
        <f t="shared" si="89"/>
        <v>#DIV/0!</v>
      </c>
      <c r="Y127" s="1" t="e">
        <f t="shared" si="89"/>
        <v>#DIV/0!</v>
      </c>
      <c r="Z127" s="1" t="e">
        <f t="shared" si="89"/>
        <v>#DIV/0!</v>
      </c>
      <c r="AA127" s="1" t="e">
        <f t="shared" si="89"/>
        <v>#DIV/0!</v>
      </c>
      <c r="AB127" s="1" t="e">
        <f t="shared" si="89"/>
        <v>#DIV/0!</v>
      </c>
      <c r="AC127" s="1" t="e">
        <f t="shared" si="89"/>
        <v>#DIV/0!</v>
      </c>
      <c r="AD127" s="1" t="e">
        <f t="shared" si="89"/>
        <v>#DIV/0!</v>
      </c>
      <c r="AE127" s="1" t="e">
        <f t="shared" si="89"/>
        <v>#DIV/0!</v>
      </c>
      <c r="AF127" s="1" t="e">
        <f t="shared" si="89"/>
        <v>#DIV/0!</v>
      </c>
      <c r="AG127" s="1" t="e">
        <f t="shared" si="89"/>
        <v>#DIV/0!</v>
      </c>
      <c r="AH127" s="1" t="e">
        <f t="shared" si="89"/>
        <v>#DIV/0!</v>
      </c>
      <c r="AI127" s="1" t="e">
        <f t="shared" si="89"/>
        <v>#DIV/0!</v>
      </c>
      <c r="AJ127" s="1" t="e">
        <f t="shared" si="89"/>
        <v>#DIV/0!</v>
      </c>
      <c r="AK127" s="1" t="e">
        <f t="shared" si="89"/>
        <v>#DIV/0!</v>
      </c>
      <c r="AL127" s="1" t="e">
        <f t="shared" si="89"/>
        <v>#DIV/0!</v>
      </c>
      <c r="AM127" s="1" t="e">
        <f t="shared" si="89"/>
        <v>#DIV/0!</v>
      </c>
      <c r="AN127" s="1" t="e">
        <f t="shared" si="89"/>
        <v>#DIV/0!</v>
      </c>
      <c r="AO127" s="1" t="e">
        <f t="shared" si="89"/>
        <v>#DIV/0!</v>
      </c>
      <c r="AP127" s="2" t="e">
        <f t="shared" si="76"/>
        <v>#DIV/0!</v>
      </c>
    </row>
    <row r="128" spans="1:42" x14ac:dyDescent="0.2">
      <c r="A128" s="2">
        <f t="shared" si="74"/>
        <v>0</v>
      </c>
      <c r="B128" s="1" t="e">
        <f t="shared" ref="B128:AO128" si="90">IF(B84=0,0,$U$12)</f>
        <v>#DIV/0!</v>
      </c>
      <c r="C128" s="1" t="e">
        <f t="shared" si="90"/>
        <v>#DIV/0!</v>
      </c>
      <c r="D128" s="1" t="e">
        <f t="shared" si="90"/>
        <v>#DIV/0!</v>
      </c>
      <c r="E128" s="1" t="e">
        <f t="shared" si="90"/>
        <v>#DIV/0!</v>
      </c>
      <c r="F128" s="1" t="e">
        <f t="shared" si="90"/>
        <v>#DIV/0!</v>
      </c>
      <c r="G128" s="1" t="e">
        <f t="shared" si="90"/>
        <v>#DIV/0!</v>
      </c>
      <c r="H128" s="1" t="e">
        <f t="shared" si="90"/>
        <v>#DIV/0!</v>
      </c>
      <c r="I128" s="1" t="e">
        <f t="shared" si="90"/>
        <v>#DIV/0!</v>
      </c>
      <c r="J128" s="1" t="e">
        <f t="shared" si="90"/>
        <v>#DIV/0!</v>
      </c>
      <c r="K128" s="1" t="e">
        <f t="shared" si="90"/>
        <v>#DIV/0!</v>
      </c>
      <c r="L128" s="1" t="e">
        <f t="shared" si="90"/>
        <v>#DIV/0!</v>
      </c>
      <c r="M128" s="1" t="e">
        <f t="shared" si="90"/>
        <v>#DIV/0!</v>
      </c>
      <c r="N128" s="1" t="e">
        <f t="shared" si="90"/>
        <v>#DIV/0!</v>
      </c>
      <c r="O128" s="1" t="e">
        <f t="shared" si="90"/>
        <v>#DIV/0!</v>
      </c>
      <c r="P128" s="1" t="e">
        <f t="shared" si="90"/>
        <v>#DIV/0!</v>
      </c>
      <c r="Q128" s="1" t="e">
        <f t="shared" si="90"/>
        <v>#DIV/0!</v>
      </c>
      <c r="R128" s="1" t="e">
        <f t="shared" si="90"/>
        <v>#DIV/0!</v>
      </c>
      <c r="S128" s="1" t="e">
        <f t="shared" si="90"/>
        <v>#DIV/0!</v>
      </c>
      <c r="T128" s="1" t="e">
        <f t="shared" si="90"/>
        <v>#DIV/0!</v>
      </c>
      <c r="U128" s="1" t="e">
        <f t="shared" si="90"/>
        <v>#DIV/0!</v>
      </c>
      <c r="V128" s="1" t="e">
        <f t="shared" si="90"/>
        <v>#DIV/0!</v>
      </c>
      <c r="W128" s="1" t="e">
        <f t="shared" si="90"/>
        <v>#DIV/0!</v>
      </c>
      <c r="X128" s="1" t="e">
        <f t="shared" si="90"/>
        <v>#DIV/0!</v>
      </c>
      <c r="Y128" s="1" t="e">
        <f t="shared" si="90"/>
        <v>#DIV/0!</v>
      </c>
      <c r="Z128" s="1" t="e">
        <f t="shared" si="90"/>
        <v>#DIV/0!</v>
      </c>
      <c r="AA128" s="1" t="e">
        <f t="shared" si="90"/>
        <v>#DIV/0!</v>
      </c>
      <c r="AB128" s="1" t="e">
        <f t="shared" si="90"/>
        <v>#DIV/0!</v>
      </c>
      <c r="AC128" s="1" t="e">
        <f t="shared" si="90"/>
        <v>#DIV/0!</v>
      </c>
      <c r="AD128" s="1" t="e">
        <f t="shared" si="90"/>
        <v>#DIV/0!</v>
      </c>
      <c r="AE128" s="1" t="e">
        <f t="shared" si="90"/>
        <v>#DIV/0!</v>
      </c>
      <c r="AF128" s="1" t="e">
        <f t="shared" si="90"/>
        <v>#DIV/0!</v>
      </c>
      <c r="AG128" s="1" t="e">
        <f t="shared" si="90"/>
        <v>#DIV/0!</v>
      </c>
      <c r="AH128" s="1" t="e">
        <f t="shared" si="90"/>
        <v>#DIV/0!</v>
      </c>
      <c r="AI128" s="1" t="e">
        <f t="shared" si="90"/>
        <v>#DIV/0!</v>
      </c>
      <c r="AJ128" s="1" t="e">
        <f t="shared" si="90"/>
        <v>#DIV/0!</v>
      </c>
      <c r="AK128" s="1" t="e">
        <f t="shared" si="90"/>
        <v>#DIV/0!</v>
      </c>
      <c r="AL128" s="1" t="e">
        <f t="shared" si="90"/>
        <v>#DIV/0!</v>
      </c>
      <c r="AM128" s="1" t="e">
        <f t="shared" si="90"/>
        <v>#DIV/0!</v>
      </c>
      <c r="AN128" s="1" t="e">
        <f t="shared" si="90"/>
        <v>#DIV/0!</v>
      </c>
      <c r="AO128" s="1" t="e">
        <f t="shared" si="90"/>
        <v>#DIV/0!</v>
      </c>
      <c r="AP128" s="2" t="e">
        <f t="shared" si="76"/>
        <v>#DIV/0!</v>
      </c>
    </row>
    <row r="129" spans="1:42" x14ac:dyDescent="0.2">
      <c r="A129" s="2">
        <f t="shared" si="74"/>
        <v>0</v>
      </c>
      <c r="B129" s="1" t="e">
        <f t="shared" ref="B129:AO129" si="91">IF(B85=0,0,$U$12)</f>
        <v>#DIV/0!</v>
      </c>
      <c r="C129" s="1" t="e">
        <f t="shared" si="91"/>
        <v>#DIV/0!</v>
      </c>
      <c r="D129" s="1" t="e">
        <f t="shared" si="91"/>
        <v>#DIV/0!</v>
      </c>
      <c r="E129" s="1" t="e">
        <f t="shared" si="91"/>
        <v>#DIV/0!</v>
      </c>
      <c r="F129" s="1" t="e">
        <f t="shared" si="91"/>
        <v>#DIV/0!</v>
      </c>
      <c r="G129" s="1" t="e">
        <f t="shared" si="91"/>
        <v>#DIV/0!</v>
      </c>
      <c r="H129" s="1" t="e">
        <f t="shared" si="91"/>
        <v>#DIV/0!</v>
      </c>
      <c r="I129" s="1" t="e">
        <f t="shared" si="91"/>
        <v>#DIV/0!</v>
      </c>
      <c r="J129" s="1" t="e">
        <f t="shared" si="91"/>
        <v>#DIV/0!</v>
      </c>
      <c r="K129" s="1" t="e">
        <f t="shared" si="91"/>
        <v>#DIV/0!</v>
      </c>
      <c r="L129" s="1" t="e">
        <f t="shared" si="91"/>
        <v>#DIV/0!</v>
      </c>
      <c r="M129" s="1" t="e">
        <f t="shared" si="91"/>
        <v>#DIV/0!</v>
      </c>
      <c r="N129" s="1" t="e">
        <f t="shared" si="91"/>
        <v>#DIV/0!</v>
      </c>
      <c r="O129" s="1" t="e">
        <f t="shared" si="91"/>
        <v>#DIV/0!</v>
      </c>
      <c r="P129" s="1" t="e">
        <f t="shared" si="91"/>
        <v>#DIV/0!</v>
      </c>
      <c r="Q129" s="1" t="e">
        <f t="shared" si="91"/>
        <v>#DIV/0!</v>
      </c>
      <c r="R129" s="1" t="e">
        <f t="shared" si="91"/>
        <v>#DIV/0!</v>
      </c>
      <c r="S129" s="1" t="e">
        <f t="shared" si="91"/>
        <v>#DIV/0!</v>
      </c>
      <c r="T129" s="1" t="e">
        <f t="shared" si="91"/>
        <v>#DIV/0!</v>
      </c>
      <c r="U129" s="1" t="e">
        <f t="shared" si="91"/>
        <v>#DIV/0!</v>
      </c>
      <c r="V129" s="1" t="e">
        <f t="shared" si="91"/>
        <v>#DIV/0!</v>
      </c>
      <c r="W129" s="1" t="e">
        <f t="shared" si="91"/>
        <v>#DIV/0!</v>
      </c>
      <c r="X129" s="1" t="e">
        <f t="shared" si="91"/>
        <v>#DIV/0!</v>
      </c>
      <c r="Y129" s="1" t="e">
        <f t="shared" si="91"/>
        <v>#DIV/0!</v>
      </c>
      <c r="Z129" s="1" t="e">
        <f t="shared" si="91"/>
        <v>#DIV/0!</v>
      </c>
      <c r="AA129" s="1" t="e">
        <f t="shared" si="91"/>
        <v>#DIV/0!</v>
      </c>
      <c r="AB129" s="1" t="e">
        <f t="shared" si="91"/>
        <v>#DIV/0!</v>
      </c>
      <c r="AC129" s="1" t="e">
        <f t="shared" si="91"/>
        <v>#DIV/0!</v>
      </c>
      <c r="AD129" s="1" t="e">
        <f t="shared" si="91"/>
        <v>#DIV/0!</v>
      </c>
      <c r="AE129" s="1" t="e">
        <f t="shared" si="91"/>
        <v>#DIV/0!</v>
      </c>
      <c r="AF129" s="1" t="e">
        <f t="shared" si="91"/>
        <v>#DIV/0!</v>
      </c>
      <c r="AG129" s="1" t="e">
        <f t="shared" si="91"/>
        <v>#DIV/0!</v>
      </c>
      <c r="AH129" s="1" t="e">
        <f t="shared" si="91"/>
        <v>#DIV/0!</v>
      </c>
      <c r="AI129" s="1" t="e">
        <f t="shared" si="91"/>
        <v>#DIV/0!</v>
      </c>
      <c r="AJ129" s="1" t="e">
        <f t="shared" si="91"/>
        <v>#DIV/0!</v>
      </c>
      <c r="AK129" s="1" t="e">
        <f t="shared" si="91"/>
        <v>#DIV/0!</v>
      </c>
      <c r="AL129" s="1" t="e">
        <f t="shared" si="91"/>
        <v>#DIV/0!</v>
      </c>
      <c r="AM129" s="1" t="e">
        <f t="shared" si="91"/>
        <v>#DIV/0!</v>
      </c>
      <c r="AN129" s="1" t="e">
        <f t="shared" si="91"/>
        <v>#DIV/0!</v>
      </c>
      <c r="AO129" s="1" t="e">
        <f t="shared" si="91"/>
        <v>#DIV/0!</v>
      </c>
      <c r="AP129" s="2" t="e">
        <f t="shared" si="76"/>
        <v>#DIV/0!</v>
      </c>
    </row>
    <row r="130" spans="1:42" x14ac:dyDescent="0.2">
      <c r="A130" s="2">
        <f t="shared" si="74"/>
        <v>0</v>
      </c>
      <c r="B130" s="1" t="e">
        <f t="shared" ref="B130:AO130" si="92">IF(B86=0,0,$U$12)</f>
        <v>#DIV/0!</v>
      </c>
      <c r="C130" s="1" t="e">
        <f t="shared" si="92"/>
        <v>#DIV/0!</v>
      </c>
      <c r="D130" s="1" t="e">
        <f t="shared" si="92"/>
        <v>#DIV/0!</v>
      </c>
      <c r="E130" s="1" t="e">
        <f t="shared" si="92"/>
        <v>#DIV/0!</v>
      </c>
      <c r="F130" s="1" t="e">
        <f t="shared" si="92"/>
        <v>#DIV/0!</v>
      </c>
      <c r="G130" s="1" t="e">
        <f t="shared" si="92"/>
        <v>#DIV/0!</v>
      </c>
      <c r="H130" s="1" t="e">
        <f t="shared" si="92"/>
        <v>#DIV/0!</v>
      </c>
      <c r="I130" s="1" t="e">
        <f t="shared" si="92"/>
        <v>#DIV/0!</v>
      </c>
      <c r="J130" s="1" t="e">
        <f t="shared" si="92"/>
        <v>#DIV/0!</v>
      </c>
      <c r="K130" s="1" t="e">
        <f t="shared" si="92"/>
        <v>#DIV/0!</v>
      </c>
      <c r="L130" s="1" t="e">
        <f t="shared" si="92"/>
        <v>#DIV/0!</v>
      </c>
      <c r="M130" s="1" t="e">
        <f t="shared" si="92"/>
        <v>#DIV/0!</v>
      </c>
      <c r="N130" s="1" t="e">
        <f t="shared" si="92"/>
        <v>#DIV/0!</v>
      </c>
      <c r="O130" s="1" t="e">
        <f t="shared" si="92"/>
        <v>#DIV/0!</v>
      </c>
      <c r="P130" s="1" t="e">
        <f t="shared" si="92"/>
        <v>#DIV/0!</v>
      </c>
      <c r="Q130" s="1" t="e">
        <f t="shared" si="92"/>
        <v>#DIV/0!</v>
      </c>
      <c r="R130" s="1" t="e">
        <f t="shared" si="92"/>
        <v>#DIV/0!</v>
      </c>
      <c r="S130" s="1" t="e">
        <f t="shared" si="92"/>
        <v>#DIV/0!</v>
      </c>
      <c r="T130" s="1" t="e">
        <f t="shared" si="92"/>
        <v>#DIV/0!</v>
      </c>
      <c r="U130" s="1" t="e">
        <f t="shared" si="92"/>
        <v>#DIV/0!</v>
      </c>
      <c r="V130" s="1" t="e">
        <f t="shared" si="92"/>
        <v>#DIV/0!</v>
      </c>
      <c r="W130" s="1" t="e">
        <f t="shared" si="92"/>
        <v>#DIV/0!</v>
      </c>
      <c r="X130" s="1" t="e">
        <f t="shared" si="92"/>
        <v>#DIV/0!</v>
      </c>
      <c r="Y130" s="1" t="e">
        <f t="shared" si="92"/>
        <v>#DIV/0!</v>
      </c>
      <c r="Z130" s="1" t="e">
        <f t="shared" si="92"/>
        <v>#DIV/0!</v>
      </c>
      <c r="AA130" s="1" t="e">
        <f t="shared" si="92"/>
        <v>#DIV/0!</v>
      </c>
      <c r="AB130" s="1" t="e">
        <f t="shared" si="92"/>
        <v>#DIV/0!</v>
      </c>
      <c r="AC130" s="1" t="e">
        <f t="shared" si="92"/>
        <v>#DIV/0!</v>
      </c>
      <c r="AD130" s="1" t="e">
        <f t="shared" si="92"/>
        <v>#DIV/0!</v>
      </c>
      <c r="AE130" s="1" t="e">
        <f t="shared" si="92"/>
        <v>#DIV/0!</v>
      </c>
      <c r="AF130" s="1" t="e">
        <f t="shared" si="92"/>
        <v>#DIV/0!</v>
      </c>
      <c r="AG130" s="1" t="e">
        <f t="shared" si="92"/>
        <v>#DIV/0!</v>
      </c>
      <c r="AH130" s="1" t="e">
        <f t="shared" si="92"/>
        <v>#DIV/0!</v>
      </c>
      <c r="AI130" s="1" t="e">
        <f t="shared" si="92"/>
        <v>#DIV/0!</v>
      </c>
      <c r="AJ130" s="1" t="e">
        <f t="shared" si="92"/>
        <v>#DIV/0!</v>
      </c>
      <c r="AK130" s="1" t="e">
        <f t="shared" si="92"/>
        <v>#DIV/0!</v>
      </c>
      <c r="AL130" s="1" t="e">
        <f t="shared" si="92"/>
        <v>#DIV/0!</v>
      </c>
      <c r="AM130" s="1" t="e">
        <f t="shared" si="92"/>
        <v>#DIV/0!</v>
      </c>
      <c r="AN130" s="1" t="e">
        <f t="shared" si="92"/>
        <v>#DIV/0!</v>
      </c>
      <c r="AO130" s="1" t="e">
        <f t="shared" si="92"/>
        <v>#DIV/0!</v>
      </c>
      <c r="AP130" s="2" t="e">
        <f t="shared" si="76"/>
        <v>#DIV/0!</v>
      </c>
    </row>
    <row r="131" spans="1:42" x14ac:dyDescent="0.2">
      <c r="A131" s="2">
        <f t="shared" si="74"/>
        <v>0</v>
      </c>
      <c r="B131" s="1" t="e">
        <f t="shared" ref="B131:AO131" si="93">IF(B87=0,0,$U$12)</f>
        <v>#DIV/0!</v>
      </c>
      <c r="C131" s="1" t="e">
        <f t="shared" si="93"/>
        <v>#DIV/0!</v>
      </c>
      <c r="D131" s="1" t="e">
        <f t="shared" si="93"/>
        <v>#DIV/0!</v>
      </c>
      <c r="E131" s="1" t="e">
        <f t="shared" si="93"/>
        <v>#DIV/0!</v>
      </c>
      <c r="F131" s="1" t="e">
        <f t="shared" si="93"/>
        <v>#DIV/0!</v>
      </c>
      <c r="G131" s="1" t="e">
        <f t="shared" si="93"/>
        <v>#DIV/0!</v>
      </c>
      <c r="H131" s="1" t="e">
        <f t="shared" si="93"/>
        <v>#DIV/0!</v>
      </c>
      <c r="I131" s="1" t="e">
        <f t="shared" si="93"/>
        <v>#DIV/0!</v>
      </c>
      <c r="J131" s="1" t="e">
        <f t="shared" si="93"/>
        <v>#DIV/0!</v>
      </c>
      <c r="K131" s="1" t="e">
        <f t="shared" si="93"/>
        <v>#DIV/0!</v>
      </c>
      <c r="L131" s="1" t="e">
        <f t="shared" si="93"/>
        <v>#DIV/0!</v>
      </c>
      <c r="M131" s="1" t="e">
        <f t="shared" si="93"/>
        <v>#DIV/0!</v>
      </c>
      <c r="N131" s="1" t="e">
        <f t="shared" si="93"/>
        <v>#DIV/0!</v>
      </c>
      <c r="O131" s="1" t="e">
        <f t="shared" si="93"/>
        <v>#DIV/0!</v>
      </c>
      <c r="P131" s="1" t="e">
        <f t="shared" si="93"/>
        <v>#DIV/0!</v>
      </c>
      <c r="Q131" s="1" t="e">
        <f t="shared" si="93"/>
        <v>#DIV/0!</v>
      </c>
      <c r="R131" s="1" t="e">
        <f t="shared" si="93"/>
        <v>#DIV/0!</v>
      </c>
      <c r="S131" s="1" t="e">
        <f t="shared" si="93"/>
        <v>#DIV/0!</v>
      </c>
      <c r="T131" s="1" t="e">
        <f t="shared" si="93"/>
        <v>#DIV/0!</v>
      </c>
      <c r="U131" s="1" t="e">
        <f t="shared" si="93"/>
        <v>#DIV/0!</v>
      </c>
      <c r="V131" s="1" t="e">
        <f t="shared" si="93"/>
        <v>#DIV/0!</v>
      </c>
      <c r="W131" s="1" t="e">
        <f t="shared" si="93"/>
        <v>#DIV/0!</v>
      </c>
      <c r="X131" s="1" t="e">
        <f t="shared" si="93"/>
        <v>#DIV/0!</v>
      </c>
      <c r="Y131" s="1" t="e">
        <f t="shared" si="93"/>
        <v>#DIV/0!</v>
      </c>
      <c r="Z131" s="1" t="e">
        <f t="shared" si="93"/>
        <v>#DIV/0!</v>
      </c>
      <c r="AA131" s="1" t="e">
        <f t="shared" si="93"/>
        <v>#DIV/0!</v>
      </c>
      <c r="AB131" s="1" t="e">
        <f t="shared" si="93"/>
        <v>#DIV/0!</v>
      </c>
      <c r="AC131" s="1" t="e">
        <f t="shared" si="93"/>
        <v>#DIV/0!</v>
      </c>
      <c r="AD131" s="1" t="e">
        <f t="shared" si="93"/>
        <v>#DIV/0!</v>
      </c>
      <c r="AE131" s="1" t="e">
        <f t="shared" si="93"/>
        <v>#DIV/0!</v>
      </c>
      <c r="AF131" s="1" t="e">
        <f t="shared" si="93"/>
        <v>#DIV/0!</v>
      </c>
      <c r="AG131" s="1" t="e">
        <f t="shared" si="93"/>
        <v>#DIV/0!</v>
      </c>
      <c r="AH131" s="1" t="e">
        <f t="shared" si="93"/>
        <v>#DIV/0!</v>
      </c>
      <c r="AI131" s="1" t="e">
        <f t="shared" si="93"/>
        <v>#DIV/0!</v>
      </c>
      <c r="AJ131" s="1" t="e">
        <f t="shared" si="93"/>
        <v>#DIV/0!</v>
      </c>
      <c r="AK131" s="1" t="e">
        <f t="shared" si="93"/>
        <v>#DIV/0!</v>
      </c>
      <c r="AL131" s="1" t="e">
        <f t="shared" si="93"/>
        <v>#DIV/0!</v>
      </c>
      <c r="AM131" s="1" t="e">
        <f t="shared" si="93"/>
        <v>#DIV/0!</v>
      </c>
      <c r="AN131" s="1" t="e">
        <f t="shared" si="93"/>
        <v>#DIV/0!</v>
      </c>
      <c r="AO131" s="1" t="e">
        <f t="shared" si="93"/>
        <v>#DIV/0!</v>
      </c>
      <c r="AP131" s="2" t="e">
        <f t="shared" si="76"/>
        <v>#DIV/0!</v>
      </c>
    </row>
    <row r="132" spans="1:42" x14ac:dyDescent="0.2">
      <c r="A132" s="2">
        <f t="shared" si="74"/>
        <v>0</v>
      </c>
      <c r="B132" s="1" t="e">
        <f t="shared" ref="B132:AO132" si="94">IF(B88=0,0,$U$12)</f>
        <v>#DIV/0!</v>
      </c>
      <c r="C132" s="1" t="e">
        <f t="shared" si="94"/>
        <v>#DIV/0!</v>
      </c>
      <c r="D132" s="1" t="e">
        <f t="shared" si="94"/>
        <v>#DIV/0!</v>
      </c>
      <c r="E132" s="1" t="e">
        <f t="shared" si="94"/>
        <v>#DIV/0!</v>
      </c>
      <c r="F132" s="1" t="e">
        <f t="shared" si="94"/>
        <v>#DIV/0!</v>
      </c>
      <c r="G132" s="1" t="e">
        <f t="shared" si="94"/>
        <v>#DIV/0!</v>
      </c>
      <c r="H132" s="1" t="e">
        <f t="shared" si="94"/>
        <v>#DIV/0!</v>
      </c>
      <c r="I132" s="1" t="e">
        <f t="shared" si="94"/>
        <v>#DIV/0!</v>
      </c>
      <c r="J132" s="1" t="e">
        <f t="shared" si="94"/>
        <v>#DIV/0!</v>
      </c>
      <c r="K132" s="1" t="e">
        <f t="shared" si="94"/>
        <v>#DIV/0!</v>
      </c>
      <c r="L132" s="1" t="e">
        <f t="shared" si="94"/>
        <v>#DIV/0!</v>
      </c>
      <c r="M132" s="1" t="e">
        <f t="shared" si="94"/>
        <v>#DIV/0!</v>
      </c>
      <c r="N132" s="1" t="e">
        <f t="shared" si="94"/>
        <v>#DIV/0!</v>
      </c>
      <c r="O132" s="1" t="e">
        <f t="shared" si="94"/>
        <v>#DIV/0!</v>
      </c>
      <c r="P132" s="1" t="e">
        <f t="shared" si="94"/>
        <v>#DIV/0!</v>
      </c>
      <c r="Q132" s="1" t="e">
        <f t="shared" si="94"/>
        <v>#DIV/0!</v>
      </c>
      <c r="R132" s="1" t="e">
        <f t="shared" si="94"/>
        <v>#DIV/0!</v>
      </c>
      <c r="S132" s="1" t="e">
        <f t="shared" si="94"/>
        <v>#DIV/0!</v>
      </c>
      <c r="T132" s="1" t="e">
        <f t="shared" si="94"/>
        <v>#DIV/0!</v>
      </c>
      <c r="U132" s="1" t="e">
        <f t="shared" si="94"/>
        <v>#DIV/0!</v>
      </c>
      <c r="V132" s="1" t="e">
        <f t="shared" si="94"/>
        <v>#DIV/0!</v>
      </c>
      <c r="W132" s="1" t="e">
        <f t="shared" si="94"/>
        <v>#DIV/0!</v>
      </c>
      <c r="X132" s="1" t="e">
        <f t="shared" si="94"/>
        <v>#DIV/0!</v>
      </c>
      <c r="Y132" s="1" t="e">
        <f t="shared" si="94"/>
        <v>#DIV/0!</v>
      </c>
      <c r="Z132" s="1" t="e">
        <f t="shared" si="94"/>
        <v>#DIV/0!</v>
      </c>
      <c r="AA132" s="1" t="e">
        <f t="shared" si="94"/>
        <v>#DIV/0!</v>
      </c>
      <c r="AB132" s="1" t="e">
        <f t="shared" si="94"/>
        <v>#DIV/0!</v>
      </c>
      <c r="AC132" s="1" t="e">
        <f t="shared" si="94"/>
        <v>#DIV/0!</v>
      </c>
      <c r="AD132" s="1" t="e">
        <f t="shared" si="94"/>
        <v>#DIV/0!</v>
      </c>
      <c r="AE132" s="1" t="e">
        <f t="shared" si="94"/>
        <v>#DIV/0!</v>
      </c>
      <c r="AF132" s="1" t="e">
        <f t="shared" si="94"/>
        <v>#DIV/0!</v>
      </c>
      <c r="AG132" s="1" t="e">
        <f t="shared" si="94"/>
        <v>#DIV/0!</v>
      </c>
      <c r="AH132" s="1" t="e">
        <f t="shared" si="94"/>
        <v>#DIV/0!</v>
      </c>
      <c r="AI132" s="1" t="e">
        <f t="shared" si="94"/>
        <v>#DIV/0!</v>
      </c>
      <c r="AJ132" s="1" t="e">
        <f t="shared" si="94"/>
        <v>#DIV/0!</v>
      </c>
      <c r="AK132" s="1" t="e">
        <f t="shared" si="94"/>
        <v>#DIV/0!</v>
      </c>
      <c r="AL132" s="1" t="e">
        <f t="shared" si="94"/>
        <v>#DIV/0!</v>
      </c>
      <c r="AM132" s="1" t="e">
        <f t="shared" si="94"/>
        <v>#DIV/0!</v>
      </c>
      <c r="AN132" s="1" t="e">
        <f t="shared" si="94"/>
        <v>#DIV/0!</v>
      </c>
      <c r="AO132" s="1" t="e">
        <f t="shared" si="94"/>
        <v>#DIV/0!</v>
      </c>
      <c r="AP132" s="2" t="e">
        <f t="shared" si="76"/>
        <v>#DIV/0!</v>
      </c>
    </row>
  </sheetData>
  <scenarios current="0">
    <scenario name="prova" locked="1" count="3" user="VIPARELLI, ENRICA" comment="Created by VIPARELLI, ENRICA on 11/24/2019_x000a_Modified by VIPARELLI, ENRICA on 11/24/2019">
      <inputCells r="I15" val="7.33145803380676"/>
      <inputCells r="I16" val="45"/>
      <inputCells r="I14" val="0.00012"/>
    </scenario>
  </scenario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1" r:id="rId4" name="Button 169">
              <controlPr defaultSize="0" print="0" autoFill="0" autoPict="0" macro="[0]!flow">
                <anchor moveWithCells="1" sizeWithCells="1">
                  <from>
                    <xdr:col>5</xdr:col>
                    <xdr:colOff>508000</xdr:colOff>
                    <xdr:row>0</xdr:row>
                    <xdr:rowOff>114300</xdr:rowOff>
                  </from>
                  <to>
                    <xdr:col>7</xdr:col>
                    <xdr:colOff>952500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5" name="Button 170">
              <controlPr defaultSize="0" print="0" autoFill="0" autoPict="0" macro="[0]!LFav">
                <anchor moveWithCells="1" sizeWithCells="1">
                  <from>
                    <xdr:col>7</xdr:col>
                    <xdr:colOff>1244600</xdr:colOff>
                    <xdr:row>0</xdr:row>
                    <xdr:rowOff>88900</xdr:rowOff>
                  </from>
                  <to>
                    <xdr:col>10</xdr:col>
                    <xdr:colOff>228600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8DA75-3224-44B9-BB58-9302C7085ACE}">
  <sheetPr codeName="Sheet2"/>
  <dimension ref="B2:O43"/>
  <sheetViews>
    <sheetView workbookViewId="0">
      <selection activeCell="M24" sqref="M24"/>
    </sheetView>
  </sheetViews>
  <sheetFormatPr baseColWidth="10" defaultColWidth="8.83203125" defaultRowHeight="16" x14ac:dyDescent="0.2"/>
  <cols>
    <col min="1" max="5" width="8.83203125" style="56"/>
    <col min="6" max="6" width="12.5" style="56" bestFit="1" customWidth="1"/>
    <col min="7" max="8" width="8.83203125" style="56"/>
    <col min="9" max="9" width="9.1640625" style="56" bestFit="1" customWidth="1"/>
    <col min="10" max="10" width="8.83203125" style="56"/>
    <col min="11" max="11" width="9.1640625" style="56" bestFit="1" customWidth="1"/>
    <col min="12" max="16384" width="8.83203125" style="56"/>
  </cols>
  <sheetData>
    <row r="2" spans="2:14" x14ac:dyDescent="0.2">
      <c r="B2" s="61" t="s">
        <v>47</v>
      </c>
      <c r="H2" s="61" t="s">
        <v>347</v>
      </c>
    </row>
    <row r="3" spans="2:14" x14ac:dyDescent="0.2">
      <c r="B3" s="56" t="s">
        <v>76</v>
      </c>
      <c r="C3" s="62">
        <f>Calculator!M8</f>
        <v>119608.91052098355</v>
      </c>
      <c r="D3" s="56" t="s">
        <v>0</v>
      </c>
      <c r="H3" s="56" t="s">
        <v>9</v>
      </c>
      <c r="I3" s="56">
        <f>Calculator!I16</f>
        <v>52.3</v>
      </c>
      <c r="J3" s="56" t="s">
        <v>5</v>
      </c>
      <c r="L3" s="56" t="s">
        <v>119</v>
      </c>
      <c r="M3" s="62">
        <f>$I$3*(($I$10*$I$8/$I$9)^0.5)*(I7^1.5)</f>
        <v>201.5899281242001</v>
      </c>
      <c r="N3" s="56" t="s">
        <v>3</v>
      </c>
    </row>
    <row r="4" spans="2:14" x14ac:dyDescent="0.2">
      <c r="B4" s="56" t="s">
        <v>77</v>
      </c>
      <c r="C4" s="62">
        <f>Calculator!M9</f>
        <v>444410.05614001083</v>
      </c>
      <c r="D4" s="56" t="s">
        <v>0</v>
      </c>
      <c r="H4" s="63" t="s">
        <v>96</v>
      </c>
      <c r="I4" s="56">
        <f>Calculator!F15</f>
        <v>1.4</v>
      </c>
      <c r="J4" s="56" t="str">
        <f>Calculator!M20</f>
        <v>m3/s</v>
      </c>
      <c r="L4" s="56" t="s">
        <v>169</v>
      </c>
      <c r="M4" s="65">
        <f>M3/I7/$I$3</f>
        <v>0.94594179764449771</v>
      </c>
      <c r="N4" s="56" t="s">
        <v>4</v>
      </c>
    </row>
    <row r="5" spans="2:14" x14ac:dyDescent="0.2">
      <c r="H5" s="56" t="s">
        <v>15</v>
      </c>
      <c r="I5" s="62">
        <f>(12*I3/13)*(I4^(3/2))/((I4-1)^0.5)</f>
        <v>126.44499408904059</v>
      </c>
      <c r="J5" s="56" t="s">
        <v>5</v>
      </c>
      <c r="L5" s="106" t="s">
        <v>120</v>
      </c>
      <c r="M5" s="65">
        <f>M4/((9.81*I7)^0.5)</f>
        <v>0.14961617559608992</v>
      </c>
    </row>
    <row r="6" spans="2:14" ht="18" x14ac:dyDescent="0.2">
      <c r="B6" s="56" t="s">
        <v>78</v>
      </c>
      <c r="C6" s="64">
        <f>C3/(C3+C4)</f>
        <v>0.21206540487294451</v>
      </c>
      <c r="H6" s="110" t="s">
        <v>297</v>
      </c>
      <c r="I6" s="65">
        <f>I3/2/I5</f>
        <v>0.20680929433699508</v>
      </c>
      <c r="L6" s="66" t="s">
        <v>195</v>
      </c>
      <c r="M6" s="64">
        <f>I7*$I$8/Calculator!$B$10/Calculator!$B$9</f>
        <v>0.68189217519121603</v>
      </c>
    </row>
    <row r="7" spans="2:14" x14ac:dyDescent="0.2">
      <c r="B7" s="56" t="s">
        <v>79</v>
      </c>
      <c r="C7" s="64">
        <f>C4/(C3+C4)</f>
        <v>0.78793459512705555</v>
      </c>
      <c r="H7" s="56" t="s">
        <v>114</v>
      </c>
      <c r="I7" s="65">
        <f>Calculator!I15</f>
        <v>4.0747664847237255</v>
      </c>
      <c r="J7" s="56" t="s">
        <v>5</v>
      </c>
      <c r="L7" s="56" t="s">
        <v>170</v>
      </c>
      <c r="M7" s="65">
        <f>(M4*($I$11^(1/6))/8.1/(($I$10*$I$8)^0.5))^(1.5)</f>
        <v>0.96103135600076783</v>
      </c>
      <c r="N7" s="56" t="s">
        <v>5</v>
      </c>
    </row>
    <row r="8" spans="2:14" x14ac:dyDescent="0.2">
      <c r="B8" s="56" t="s">
        <v>85</v>
      </c>
      <c r="C8" s="56">
        <f>C6+C7</f>
        <v>1</v>
      </c>
      <c r="H8" s="56" t="s">
        <v>11</v>
      </c>
      <c r="I8" s="56">
        <f>Calculator!I14</f>
        <v>1.85E-4</v>
      </c>
      <c r="J8" s="56" t="s">
        <v>8</v>
      </c>
      <c r="L8" s="66" t="s">
        <v>196</v>
      </c>
      <c r="M8" s="64">
        <f>M7*$I$8/Calculator!$B$10/Calculator!$B$9</f>
        <v>0.16082388137507198</v>
      </c>
    </row>
    <row r="9" spans="2:14" x14ac:dyDescent="0.2">
      <c r="H9" s="56" t="s">
        <v>124</v>
      </c>
      <c r="I9" s="67">
        <f>Calculator!U13</f>
        <v>8.2644628099173556E-3</v>
      </c>
      <c r="L9" s="66" t="s">
        <v>197</v>
      </c>
      <c r="M9" s="64">
        <f>IF(M8&gt;M6,M6,M8)</f>
        <v>0.16082388137507198</v>
      </c>
    </row>
    <row r="10" spans="2:14" x14ac:dyDescent="0.2">
      <c r="B10" s="56" t="s">
        <v>86</v>
      </c>
      <c r="C10" s="56">
        <f>Calculator!I7</f>
        <v>1</v>
      </c>
      <c r="H10" s="56" t="s">
        <v>28</v>
      </c>
      <c r="I10" s="56">
        <f>Calculator!B16</f>
        <v>9.81</v>
      </c>
      <c r="J10" s="56" t="s">
        <v>29</v>
      </c>
      <c r="L10" s="56" t="s">
        <v>173</v>
      </c>
      <c r="M10" s="62">
        <f>Calculator!I16*((Calculator!B10*9.81*Calculator!B9)^0.5)*Calculator!B9*Calculator!F11*(bank_migr_width!M6^Calculator!F12)*(1+Calculator!B10)*60*60*24*365.25/Calculator!U13</f>
        <v>354449.89818110905</v>
      </c>
      <c r="N10" s="56" t="s">
        <v>0</v>
      </c>
    </row>
    <row r="11" spans="2:14" x14ac:dyDescent="0.2">
      <c r="B11" s="56" t="s">
        <v>87</v>
      </c>
      <c r="C11" s="56">
        <f>Calculator!I8</f>
        <v>6.5000000000000002E-2</v>
      </c>
      <c r="H11" s="56" t="s">
        <v>167</v>
      </c>
      <c r="I11" s="56">
        <f>3*Calculator!B9</f>
        <v>2.0100000000000001E-3</v>
      </c>
      <c r="J11" s="56" t="s">
        <v>5</v>
      </c>
      <c r="L11" s="56" t="s">
        <v>121</v>
      </c>
      <c r="M11" s="65">
        <f>Calculator!M8/bank_migr_width!M10</f>
        <v>0.33744941424660363</v>
      </c>
    </row>
    <row r="12" spans="2:14" x14ac:dyDescent="0.2">
      <c r="I12" s="65"/>
      <c r="L12" s="66" t="s">
        <v>198</v>
      </c>
      <c r="M12" s="65">
        <f>bank_migr_width!$C$19*((bank_migr_width!$C$27/M9)^0.5)</f>
        <v>1.8605584601109344</v>
      </c>
    </row>
    <row r="13" spans="2:14" x14ac:dyDescent="0.2">
      <c r="B13" s="56" t="s">
        <v>82</v>
      </c>
      <c r="C13" s="65">
        <f>C10*C6/(C10*C6+C11*C7)</f>
        <v>0.80547126905410837</v>
      </c>
      <c r="L13" s="56" t="s">
        <v>189</v>
      </c>
      <c r="M13" s="64">
        <f>(-1)*bank_migr_width!$C$24/(bank_migr_width!$C$21*I9*M12)</f>
        <v>3.8098280921445764</v>
      </c>
    </row>
    <row r="14" spans="2:14" x14ac:dyDescent="0.2">
      <c r="B14" s="56" t="s">
        <v>83</v>
      </c>
      <c r="C14" s="65">
        <f>C11*C7/(C10*C6+C11*C7)</f>
        <v>0.19452873094589163</v>
      </c>
      <c r="L14" s="56" t="s">
        <v>118</v>
      </c>
      <c r="M14" s="65">
        <f>ABS(M13)*I7*$I$6/2</f>
        <v>1.6052702690257037</v>
      </c>
      <c r="N14" s="56" t="s">
        <v>5</v>
      </c>
    </row>
    <row r="15" spans="2:14" x14ac:dyDescent="0.2">
      <c r="B15" s="56" t="s">
        <v>84</v>
      </c>
      <c r="C15" s="56">
        <f>C14+C13</f>
        <v>1</v>
      </c>
      <c r="L15" s="63" t="s">
        <v>48</v>
      </c>
      <c r="M15" s="65">
        <f>I7-M14</f>
        <v>2.4694962156980216</v>
      </c>
      <c r="N15" s="56" t="s">
        <v>5</v>
      </c>
    </row>
    <row r="18" spans="2:15" x14ac:dyDescent="0.2">
      <c r="B18" s="61" t="s">
        <v>346</v>
      </c>
    </row>
    <row r="19" spans="2:15" x14ac:dyDescent="0.2">
      <c r="B19" s="66" t="s">
        <v>199</v>
      </c>
      <c r="C19" s="65">
        <f>(1+0.85*0.43)/(0.43*0.54)</f>
        <v>5.8807062876830312</v>
      </c>
      <c r="E19" s="63" t="s">
        <v>96</v>
      </c>
      <c r="F19" s="56">
        <f>Calculator!F15</f>
        <v>1.4</v>
      </c>
      <c r="H19" s="56" t="s">
        <v>13</v>
      </c>
      <c r="I19" s="65">
        <f>ABS(J43+G43)/2</f>
        <v>1.2870835444115001</v>
      </c>
      <c r="J19" s="56" t="s">
        <v>14</v>
      </c>
      <c r="O19" s="68"/>
    </row>
    <row r="20" spans="2:15" x14ac:dyDescent="0.2">
      <c r="B20" s="63" t="s">
        <v>200</v>
      </c>
      <c r="C20" s="65">
        <f>(Calculator!U13^(-0.5))/13</f>
        <v>0.84615384615384615</v>
      </c>
      <c r="E20" s="56" t="s">
        <v>15</v>
      </c>
      <c r="F20" s="62">
        <f>I5</f>
        <v>126.44499408904059</v>
      </c>
      <c r="G20" s="56" t="s">
        <v>5</v>
      </c>
      <c r="H20" s="56" t="s">
        <v>13</v>
      </c>
      <c r="I20" s="69">
        <f>I19/365.25/24/60/60</f>
        <v>4.078521637930324E-8</v>
      </c>
      <c r="J20" s="56" t="s">
        <v>4</v>
      </c>
    </row>
    <row r="21" spans="2:15" x14ac:dyDescent="0.2">
      <c r="B21" s="63" t="s">
        <v>13</v>
      </c>
      <c r="C21" s="65">
        <f>C20-1/3</f>
        <v>0.51282051282051277</v>
      </c>
      <c r="E21" s="63" t="str">
        <f>H6</f>
        <v>s</v>
      </c>
      <c r="F21" s="65">
        <f>I6</f>
        <v>0.20680929433699508</v>
      </c>
      <c r="H21" s="56" t="s">
        <v>17</v>
      </c>
      <c r="I21" s="64">
        <f>J43-G43</f>
        <v>-1.8637459253483257E-3</v>
      </c>
      <c r="J21" s="56" t="s">
        <v>14</v>
      </c>
    </row>
    <row r="22" spans="2:15" x14ac:dyDescent="0.2">
      <c r="B22" s="56" t="s">
        <v>191</v>
      </c>
      <c r="C22" s="65">
        <f>C21/C20</f>
        <v>0.60606060606060597</v>
      </c>
      <c r="E22" s="66" t="s">
        <v>198</v>
      </c>
      <c r="F22" s="65">
        <f>M12</f>
        <v>1.8605584601109344</v>
      </c>
      <c r="H22" s="127" t="s">
        <v>375</v>
      </c>
      <c r="I22" s="65">
        <f>(C33-C32)/2</f>
        <v>0.78769189403761897</v>
      </c>
      <c r="J22" s="125" t="s">
        <v>4</v>
      </c>
      <c r="L22" s="65"/>
      <c r="M22" s="64"/>
    </row>
    <row r="23" spans="2:15" x14ac:dyDescent="0.2">
      <c r="B23" s="66" t="s">
        <v>201</v>
      </c>
      <c r="C23" s="64">
        <f>(1/(C20^3))*((C21^3)+(C21^2)+2*C21/5+2/35)</f>
        <v>1.0896195325947391</v>
      </c>
      <c r="D23" s="68"/>
      <c r="E23" s="56" t="s">
        <v>19</v>
      </c>
      <c r="F23" s="64">
        <f>M13</f>
        <v>3.8098280921445764</v>
      </c>
      <c r="H23" s="125" t="s">
        <v>374</v>
      </c>
      <c r="I23" s="126">
        <f>I20/I22</f>
        <v>5.1778133922697701E-8</v>
      </c>
      <c r="K23" s="65">
        <f>0.0000000518</f>
        <v>5.1800000000000001E-8</v>
      </c>
      <c r="M23" s="64"/>
      <c r="N23" s="69"/>
    </row>
    <row r="24" spans="2:15" x14ac:dyDescent="0.2">
      <c r="B24" s="56" t="s">
        <v>192</v>
      </c>
      <c r="C24" s="64">
        <f>(1/(C20^2))*((C21^2)+2*C21/3+2/15)*C21-C23*C21</f>
        <v>-3.0041991474498375E-2</v>
      </c>
    </row>
    <row r="25" spans="2:15" x14ac:dyDescent="0.2">
      <c r="B25" s="56" t="s">
        <v>18</v>
      </c>
      <c r="C25" s="64">
        <f>(1/(C20^4))*(2/945)*(2*(C21^2)+4*C21/5+1/15)</f>
        <v>4.1405247382374022E-3</v>
      </c>
      <c r="E25" s="56" t="s">
        <v>172</v>
      </c>
      <c r="F25" s="70">
        <f>2^((LOG(Calculator!B9*1000)*Calculator!M13+LOG(Calculator!B11*1000)*Calculator!M14)/LOG(2))/1000</f>
        <v>1.0765145004486181E-4</v>
      </c>
      <c r="G25" s="56" t="s">
        <v>5</v>
      </c>
      <c r="I25" s="65"/>
    </row>
    <row r="26" spans="2:15" x14ac:dyDescent="0.2">
      <c r="B26" s="56" t="s">
        <v>26</v>
      </c>
      <c r="C26" s="67">
        <f>1/(((Calculator!B10*9.81*Calculator!B9)^0.5)*Calculator!B9/0.000001)^0.6</f>
        <v>7.8304512855114985E-2</v>
      </c>
      <c r="E26" s="63" t="s">
        <v>190</v>
      </c>
      <c r="F26" s="64">
        <f>Calculator!U13*Calculator!I16/2/bank_migr_width!I7</f>
        <v>5.3037567499770913E-2</v>
      </c>
    </row>
    <row r="27" spans="2:15" x14ac:dyDescent="0.2">
      <c r="B27" s="66" t="s">
        <v>202</v>
      </c>
      <c r="C27" s="64">
        <f>0.5*(0.22*C26+0.06/(10^(7.7*C26)))</f>
        <v>1.6098232743714254E-2</v>
      </c>
      <c r="E27" s="56" t="s">
        <v>20</v>
      </c>
      <c r="F27" s="65">
        <f>3*C25/((F26^2)*C20)</f>
        <v>5.2186733081763741</v>
      </c>
    </row>
    <row r="28" spans="2:15" x14ac:dyDescent="0.2">
      <c r="B28" s="56" t="s">
        <v>167</v>
      </c>
      <c r="C28" s="56">
        <f>3*Calculator!B9</f>
        <v>2.0100000000000001E-3</v>
      </c>
      <c r="E28" s="56" t="s">
        <v>27</v>
      </c>
      <c r="F28" s="56">
        <f>Calculator!I13</f>
        <v>1</v>
      </c>
      <c r="I28" s="65"/>
    </row>
    <row r="30" spans="2:15" x14ac:dyDescent="0.2">
      <c r="B30" s="61" t="s">
        <v>21</v>
      </c>
      <c r="C30" s="61"/>
      <c r="D30" s="61"/>
      <c r="E30" s="61"/>
      <c r="F30" s="61" t="s">
        <v>218</v>
      </c>
      <c r="G30" s="61"/>
      <c r="H30" s="61"/>
      <c r="I30" s="61" t="s">
        <v>219</v>
      </c>
      <c r="J30" s="61"/>
      <c r="K30" s="61"/>
    </row>
    <row r="31" spans="2:15" x14ac:dyDescent="0.2">
      <c r="B31" s="56" t="s">
        <v>174</v>
      </c>
      <c r="C31" s="65">
        <f>0.5*((M5^2)*C23+F23-1+F27)*F21</f>
        <v>0.83270651111840177</v>
      </c>
      <c r="F31" s="56" t="s">
        <v>22</v>
      </c>
      <c r="G31" s="65">
        <f>1-($C$37*$F$21)</f>
        <v>0.78684300372118154</v>
      </c>
      <c r="I31" s="56" t="s">
        <v>22</v>
      </c>
      <c r="J31" s="65">
        <f>1+($C$37*$F$21)</f>
        <v>1.2131569962788185</v>
      </c>
    </row>
    <row r="32" spans="2:15" x14ac:dyDescent="0.2">
      <c r="B32" s="56" t="s">
        <v>183</v>
      </c>
      <c r="C32" s="65">
        <f>M4*(1-C31)</f>
        <v>0.15824990360687882</v>
      </c>
      <c r="D32" s="56" t="s">
        <v>4</v>
      </c>
      <c r="F32" s="56" t="s">
        <v>23</v>
      </c>
      <c r="G32" s="65">
        <f>1-F21</f>
        <v>0.79319070566300498</v>
      </c>
      <c r="I32" s="56" t="s">
        <v>23</v>
      </c>
      <c r="J32" s="65">
        <f>1+F21</f>
        <v>1.206809294336995</v>
      </c>
    </row>
    <row r="33" spans="2:10" x14ac:dyDescent="0.2">
      <c r="B33" s="56" t="s">
        <v>184</v>
      </c>
      <c r="C33" s="65">
        <f>M4*(1+C31)</f>
        <v>1.7336336916821167</v>
      </c>
      <c r="D33" s="56" t="s">
        <v>4</v>
      </c>
      <c r="F33" s="56" t="s">
        <v>24</v>
      </c>
      <c r="G33" s="56">
        <f>-1</f>
        <v>-1</v>
      </c>
      <c r="I33" s="56" t="s">
        <v>24</v>
      </c>
      <c r="J33" s="56">
        <v>1</v>
      </c>
    </row>
    <row r="34" spans="2:10" x14ac:dyDescent="0.2">
      <c r="B34" s="66" t="s">
        <v>203</v>
      </c>
      <c r="C34" s="65">
        <f>Calculator!U13*(bank_migr_width!C32^2)/(Calculator!B10*9.81*Calculator!B9)</f>
        <v>1.9084192284987506E-2</v>
      </c>
      <c r="F34" s="66" t="s">
        <v>204</v>
      </c>
      <c r="G34" s="65">
        <f>$C34/$M$6</f>
        <v>2.7987111422177444E-2</v>
      </c>
      <c r="I34" s="66" t="s">
        <v>204</v>
      </c>
      <c r="J34" s="65">
        <f>$C35/$M$6</f>
        <v>3.3588131558957866</v>
      </c>
    </row>
    <row r="35" spans="2:10" x14ac:dyDescent="0.2">
      <c r="B35" s="66" t="s">
        <v>205</v>
      </c>
      <c r="C35" s="65">
        <f>Calculator!U13*(bank_migr_width!C33^2)/(Calculator!B10*9.81*Calculator!B9)</f>
        <v>2.2903484089346509</v>
      </c>
      <c r="F35" s="56" t="s">
        <v>181</v>
      </c>
      <c r="G35" s="64">
        <f>Calculator!I12*Calculator!$F$11*(bank_migr_width!C34^Calculator!$F$12)/Calculator!$U$13</f>
        <v>3.043966257035972E-5</v>
      </c>
      <c r="I35" s="56" t="s">
        <v>181</v>
      </c>
      <c r="J35" s="64">
        <f>Calculator!I12*Calculator!$F$11*(bank_migr_width!C35^Calculator!$F$12)/Calculator!$U$13</f>
        <v>4.8029631632862584</v>
      </c>
    </row>
    <row r="36" spans="2:10" x14ac:dyDescent="0.2">
      <c r="B36" s="56" t="s">
        <v>179</v>
      </c>
      <c r="C36" s="65">
        <f>M14/F28</f>
        <v>1.6052702690257037</v>
      </c>
      <c r="D36" s="56" t="s">
        <v>5</v>
      </c>
      <c r="F36" s="108" t="s">
        <v>312</v>
      </c>
      <c r="G36" s="65">
        <f>G35*$F$22*ABS(F28)*((Calculator!$B$10*9.81*bank_migr_width!$F$25)^0.5)*bank_migr_width!$F$25*$M$11*60*60*24*365.25</f>
        <v>2.7102047487520941E-3</v>
      </c>
      <c r="I36" s="108" t="s">
        <v>312</v>
      </c>
      <c r="J36" s="65">
        <f>J35*$F$22*ABS(F28)*((Calculator!$B$10*9.81*bank_migr_width!$F$25)^0.5)*bank_migr_width!$F$25*$M$11*60*60*24*365.25</f>
        <v>427.63330714102477</v>
      </c>
    </row>
    <row r="37" spans="2:10" x14ac:dyDescent="0.2">
      <c r="B37" s="56" t="s">
        <v>180</v>
      </c>
      <c r="C37" s="64">
        <f>(Calculator!I16+bank_migr_width!C36)/Calculator!I16</f>
        <v>1.030693504187872</v>
      </c>
      <c r="F37" s="66" t="s">
        <v>206</v>
      </c>
      <c r="G37" s="64">
        <f>G33*G36*G32/($M$14*(1-Calculator!$B$13)*bank_migr_width!G31)</f>
        <v>-2.8365615932644537E-3</v>
      </c>
      <c r="H37" s="108"/>
      <c r="I37" s="66" t="s">
        <v>206</v>
      </c>
      <c r="J37" s="64">
        <f>J33*J36*J32/(M14*(1-Calculator!$B$13)*bank_migr_width!J31)</f>
        <v>441.66577859045032</v>
      </c>
    </row>
    <row r="38" spans="2:10" x14ac:dyDescent="0.2">
      <c r="B38" s="66" t="s">
        <v>207</v>
      </c>
      <c r="C38" s="56">
        <f>Calculator!I9</f>
        <v>0.55000000000000004</v>
      </c>
      <c r="D38" s="56" t="s">
        <v>14</v>
      </c>
      <c r="F38" s="66" t="s">
        <v>208</v>
      </c>
      <c r="G38" s="56">
        <f>G33*$C38</f>
        <v>-0.55000000000000004</v>
      </c>
      <c r="I38" s="66" t="s">
        <v>208</v>
      </c>
      <c r="J38" s="56">
        <f>J33*$C38</f>
        <v>0.55000000000000004</v>
      </c>
    </row>
    <row r="39" spans="2:10" x14ac:dyDescent="0.2">
      <c r="B39" s="66" t="s">
        <v>209</v>
      </c>
      <c r="C39" s="56">
        <f>Calculator!I10</f>
        <v>2</v>
      </c>
      <c r="D39" s="56" t="s">
        <v>14</v>
      </c>
      <c r="F39" s="56" t="s">
        <v>25</v>
      </c>
      <c r="G39" s="64">
        <f>Calculator!I11*ABS(G37/G38)</f>
        <v>1.7403564511300046E-3</v>
      </c>
      <c r="I39" s="56" t="s">
        <v>25</v>
      </c>
      <c r="J39" s="64">
        <f>Calculator!I11*ABS(J37/J38)</f>
        <v>270.98156050566831</v>
      </c>
    </row>
    <row r="40" spans="2:10" x14ac:dyDescent="0.2">
      <c r="F40" s="66" t="s">
        <v>210</v>
      </c>
      <c r="G40" s="65">
        <f>$M$11*G37/(1+G39/(G34-1))</f>
        <v>-9.589129495715449E-4</v>
      </c>
      <c r="I40" s="66" t="s">
        <v>211</v>
      </c>
      <c r="J40" s="65">
        <f>M11*J37/(1+J39/(J34-1))</f>
        <v>1.2861516714488259</v>
      </c>
    </row>
    <row r="41" spans="2:10" x14ac:dyDescent="0.2">
      <c r="F41" s="66" t="s">
        <v>212</v>
      </c>
      <c r="G41" s="65">
        <f>-G33*(1-$M$11)*C39*(1-G34)</f>
        <v>1.2880154173741742</v>
      </c>
      <c r="I41" s="66" t="s">
        <v>213</v>
      </c>
      <c r="J41" s="65">
        <f>-J33*(1-M11)*C39*(1-J34)</f>
        <v>3.1256660762431419</v>
      </c>
    </row>
    <row r="42" spans="2:10" x14ac:dyDescent="0.2">
      <c r="F42" s="66" t="s">
        <v>214</v>
      </c>
      <c r="G42" s="56">
        <v>0</v>
      </c>
      <c r="I42" s="66" t="s">
        <v>215</v>
      </c>
      <c r="J42" s="56">
        <v>0</v>
      </c>
    </row>
    <row r="43" spans="2:10" x14ac:dyDescent="0.2">
      <c r="F43" s="66" t="s">
        <v>216</v>
      </c>
      <c r="G43" s="65">
        <f>IF(G34&gt;1,G40,IF(G34=0,G42,G41))</f>
        <v>1.2880154173741742</v>
      </c>
      <c r="I43" s="66" t="s">
        <v>217</v>
      </c>
      <c r="J43" s="65">
        <f>IF(J34&gt;1,J40,IF(J34=0,J42,J41))</f>
        <v>1.2861516714488259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0F9C4-87E0-774E-B8B4-D8549E01CF55}">
  <sheetPr codeName="Sheet1"/>
  <dimension ref="C3:D26"/>
  <sheetViews>
    <sheetView workbookViewId="0">
      <selection activeCell="J10" sqref="J10"/>
    </sheetView>
  </sheetViews>
  <sheetFormatPr baseColWidth="10" defaultColWidth="10.83203125" defaultRowHeight="21" x14ac:dyDescent="0.25"/>
  <cols>
    <col min="1" max="16384" width="10.83203125" style="104"/>
  </cols>
  <sheetData>
    <row r="3" spans="3:4" x14ac:dyDescent="0.25">
      <c r="C3" s="104" t="s">
        <v>263</v>
      </c>
    </row>
    <row r="5" spans="3:4" x14ac:dyDescent="0.25">
      <c r="C5" s="104" t="s">
        <v>275</v>
      </c>
    </row>
    <row r="6" spans="3:4" x14ac:dyDescent="0.25">
      <c r="D6" s="104" t="s">
        <v>276</v>
      </c>
    </row>
    <row r="7" spans="3:4" x14ac:dyDescent="0.25">
      <c r="D7" s="104" t="s">
        <v>277</v>
      </c>
    </row>
    <row r="8" spans="3:4" x14ac:dyDescent="0.25">
      <c r="C8" s="104" t="s">
        <v>305</v>
      </c>
    </row>
    <row r="9" spans="3:4" x14ac:dyDescent="0.25">
      <c r="D9" s="104" t="s">
        <v>306</v>
      </c>
    </row>
    <row r="10" spans="3:4" x14ac:dyDescent="0.25">
      <c r="C10" s="104" t="s">
        <v>334</v>
      </c>
    </row>
    <row r="11" spans="3:4" x14ac:dyDescent="0.25">
      <c r="D11" s="104" t="s">
        <v>335</v>
      </c>
    </row>
    <row r="12" spans="3:4" x14ac:dyDescent="0.25">
      <c r="C12" s="104" t="s">
        <v>273</v>
      </c>
    </row>
    <row r="13" spans="3:4" x14ac:dyDescent="0.25">
      <c r="D13" s="104" t="s">
        <v>274</v>
      </c>
    </row>
    <row r="14" spans="3:4" x14ac:dyDescent="0.25">
      <c r="C14" s="104" t="s">
        <v>308</v>
      </c>
    </row>
    <row r="15" spans="3:4" x14ac:dyDescent="0.25">
      <c r="D15" s="104" t="s">
        <v>307</v>
      </c>
    </row>
    <row r="16" spans="3:4" x14ac:dyDescent="0.25">
      <c r="C16" s="104" t="s">
        <v>268</v>
      </c>
    </row>
    <row r="17" spans="3:4" x14ac:dyDescent="0.25">
      <c r="D17" s="104" t="s">
        <v>269</v>
      </c>
    </row>
    <row r="18" spans="3:4" x14ac:dyDescent="0.25">
      <c r="C18" s="104" t="s">
        <v>271</v>
      </c>
    </row>
    <row r="19" spans="3:4" x14ac:dyDescent="0.25">
      <c r="D19" s="104" t="s">
        <v>265</v>
      </c>
    </row>
    <row r="20" spans="3:4" x14ac:dyDescent="0.25">
      <c r="D20" s="104" t="s">
        <v>266</v>
      </c>
    </row>
    <row r="21" spans="3:4" x14ac:dyDescent="0.25">
      <c r="C21" s="104" t="s">
        <v>272</v>
      </c>
    </row>
    <row r="22" spans="3:4" x14ac:dyDescent="0.25">
      <c r="D22" s="104" t="s">
        <v>267</v>
      </c>
    </row>
    <row r="23" spans="3:4" x14ac:dyDescent="0.25">
      <c r="C23" s="104" t="s">
        <v>270</v>
      </c>
    </row>
    <row r="24" spans="3:4" x14ac:dyDescent="0.25">
      <c r="D24" s="104" t="s">
        <v>264</v>
      </c>
    </row>
    <row r="25" spans="3:4" x14ac:dyDescent="0.25">
      <c r="C25" s="104" t="s">
        <v>352</v>
      </c>
    </row>
    <row r="26" spans="3:4" x14ac:dyDescent="0.25">
      <c r="D26" s="104" t="s">
        <v>353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Disclaimer</vt:lpstr>
      <vt:lpstr>Notation</vt:lpstr>
      <vt:lpstr>Calculation_of_the_flow</vt:lpstr>
      <vt:lpstr>Bank_migration_calculation</vt:lpstr>
      <vt:lpstr>How_to_use_the_Calculator</vt:lpstr>
      <vt:lpstr>Calculator</vt:lpstr>
      <vt:lpstr>bank_migr_width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VIPARELLI, ENRICA</dc:creator>
  <cp:lastModifiedBy>Microsoft Office User</cp:lastModifiedBy>
  <dcterms:created xsi:type="dcterms:W3CDTF">2019-09-21T18:25:02Z</dcterms:created>
  <dcterms:modified xsi:type="dcterms:W3CDTF">2025-01-24T19:01:48Z</dcterms:modified>
</cp:coreProperties>
</file>